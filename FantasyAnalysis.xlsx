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<sst xmlns="http://schemas.openxmlformats.org/spreadsheetml/2006/main" uniqueCount="556">
  <si>
    <t>FantasyAnalysis</t>
  </si>
  <si>
    <t>position</t>
  </si>
  <si>
    <t>pts_half_ppr_x</t>
  </si>
  <si>
    <t>player_id</t>
  </si>
  <si>
    <t>season</t>
  </si>
  <si>
    <t>category</t>
  </si>
  <si>
    <t>years_exp</t>
  </si>
  <si>
    <t>adp_half_ppr</t>
  </si>
  <si>
    <t>first_name</t>
  </si>
  <si>
    <t>last_name</t>
  </si>
  <si>
    <t>Key</t>
  </si>
  <si>
    <t>pts_half_ppr_y</t>
  </si>
  <si>
    <t>difference</t>
  </si>
  <si>
    <t>pos_med</t>
  </si>
  <si>
    <t>pos_min</t>
  </si>
  <si>
    <t>var</t>
  </si>
  <si>
    <t>value</t>
  </si>
  <si>
    <t>pred_mean</t>
  </si>
  <si>
    <t>pred_variance</t>
  </si>
  <si>
    <t>mean_error</t>
  </si>
  <si>
    <t>var_error</t>
  </si>
  <si>
    <t>mean_actual</t>
  </si>
  <si>
    <t>lambda</t>
  </si>
  <si>
    <t>adjusted_pts</t>
  </si>
  <si>
    <t>adjusted_var</t>
  </si>
  <si>
    <t>adjusted_value</t>
  </si>
  <si>
    <t>Akira</t>
  </si>
  <si>
    <t>Price</t>
  </si>
  <si>
    <t>RB</t>
  </si>
  <si>
    <t>proj</t>
  </si>
  <si>
    <t>Christian</t>
  </si>
  <si>
    <t>McCaffrey</t>
  </si>
  <si>
    <t>C. McCaffrey</t>
  </si>
  <si>
    <t>Saquon</t>
  </si>
  <si>
    <t>Barkley</t>
  </si>
  <si>
    <t>Nick</t>
  </si>
  <si>
    <t>Chubb</t>
  </si>
  <si>
    <t>Derrick</t>
  </si>
  <si>
    <t>Henry</t>
  </si>
  <si>
    <t>Austin</t>
  </si>
  <si>
    <t>Ekeler</t>
  </si>
  <si>
    <t>A. Ekeler</t>
  </si>
  <si>
    <t>Joe</t>
  </si>
  <si>
    <t>Mixon</t>
  </si>
  <si>
    <t>Josh</t>
  </si>
  <si>
    <t>Jacobs</t>
  </si>
  <si>
    <t>WR</t>
  </si>
  <si>
    <t>Justin</t>
  </si>
  <si>
    <t>Jefferson</t>
  </si>
  <si>
    <t>J. Jefferson</t>
  </si>
  <si>
    <t>Alvin</t>
  </si>
  <si>
    <t>Kamara</t>
  </si>
  <si>
    <t>Jonathan</t>
  </si>
  <si>
    <t>Taylor</t>
  </si>
  <si>
    <t>Dalvin</t>
  </si>
  <si>
    <t>Cook</t>
  </si>
  <si>
    <t>Bijan</t>
  </si>
  <si>
    <t>Robinson</t>
  </si>
  <si>
    <t>B. Robinson</t>
  </si>
  <si>
    <t>Leonard</t>
  </si>
  <si>
    <t>Fournette</t>
  </si>
  <si>
    <t>Cooper</t>
  </si>
  <si>
    <t>Kupp</t>
  </si>
  <si>
    <t>Aaron</t>
  </si>
  <si>
    <t>Jones</t>
  </si>
  <si>
    <t>D. Henry</t>
  </si>
  <si>
    <t>S. Barkley</t>
  </si>
  <si>
    <t>D'Andre</t>
  </si>
  <si>
    <t>Swift</t>
  </si>
  <si>
    <t>Najee</t>
  </si>
  <si>
    <t>Harris</t>
  </si>
  <si>
    <t>J. Jacobs</t>
  </si>
  <si>
    <t>Ja'Marr</t>
  </si>
  <si>
    <t>Chase</t>
  </si>
  <si>
    <t>J. Chase</t>
  </si>
  <si>
    <t>QB</t>
  </si>
  <si>
    <t>Allen</t>
  </si>
  <si>
    <t>Travis</t>
  </si>
  <si>
    <t>Etienne</t>
  </si>
  <si>
    <t>T. Etienne</t>
  </si>
  <si>
    <t>Breece</t>
  </si>
  <si>
    <t>Hall</t>
  </si>
  <si>
    <t>J.K.</t>
  </si>
  <si>
    <t>Dobbins</t>
  </si>
  <si>
    <t>Tony</t>
  </si>
  <si>
    <t>Pollard</t>
  </si>
  <si>
    <t>T. Pollard</t>
  </si>
  <si>
    <t>Yes</t>
  </si>
  <si>
    <t>Ezekiel</t>
  </si>
  <si>
    <t>Elliott</t>
  </si>
  <si>
    <t>Lamar</t>
  </si>
  <si>
    <t>Jackson</t>
  </si>
  <si>
    <t>Jalen</t>
  </si>
  <si>
    <t>Hurts</t>
  </si>
  <si>
    <t>J. Hurts</t>
  </si>
  <si>
    <t>James</t>
  </si>
  <si>
    <t>Conner</t>
  </si>
  <si>
    <t>Tyreek</t>
  </si>
  <si>
    <t>Hill</t>
  </si>
  <si>
    <t>T. Hill</t>
  </si>
  <si>
    <t>Patrick</t>
  </si>
  <si>
    <t>Mahomes</t>
  </si>
  <si>
    <t>P. Mahomes</t>
  </si>
  <si>
    <t>Rhamondre</t>
  </si>
  <si>
    <t>Stevenson</t>
  </si>
  <si>
    <t>R. Stevenson</t>
  </si>
  <si>
    <t>J. Allen</t>
  </si>
  <si>
    <t>N. Harris</t>
  </si>
  <si>
    <t>J. Mixon</t>
  </si>
  <si>
    <t>Dameon</t>
  </si>
  <si>
    <t>Pierce</t>
  </si>
  <si>
    <t>D. Pierce</t>
  </si>
  <si>
    <t>Stefon</t>
  </si>
  <si>
    <t>Diggs</t>
  </si>
  <si>
    <t>Kenneth</t>
  </si>
  <si>
    <t>Walker</t>
  </si>
  <si>
    <t>K. Walker</t>
  </si>
  <si>
    <t>David</t>
  </si>
  <si>
    <t>Montgomery</t>
  </si>
  <si>
    <t>Davante</t>
  </si>
  <si>
    <t>Adams</t>
  </si>
  <si>
    <t>D. Adams</t>
  </si>
  <si>
    <t>S. Diggs</t>
  </si>
  <si>
    <t>A. Jones</t>
  </si>
  <si>
    <t>A.J.</t>
  </si>
  <si>
    <t>Brown</t>
  </si>
  <si>
    <t>A. Brown</t>
  </si>
  <si>
    <t>Cam</t>
  </si>
  <si>
    <t>Akers</t>
  </si>
  <si>
    <t>B. Hall</t>
  </si>
  <si>
    <t>Miles</t>
  </si>
  <si>
    <t>Sanders</t>
  </si>
  <si>
    <t>M. Sanders</t>
  </si>
  <si>
    <t>CeeDee</t>
  </si>
  <si>
    <t>Lamb</t>
  </si>
  <si>
    <t>C. Lamb</t>
  </si>
  <si>
    <t>L. Jackson</t>
  </si>
  <si>
    <t>D. Swift</t>
  </si>
  <si>
    <t>Alexander</t>
  </si>
  <si>
    <t>Mattison</t>
  </si>
  <si>
    <t>A. Mattison</t>
  </si>
  <si>
    <t>AJ</t>
  </si>
  <si>
    <t>Dillon</t>
  </si>
  <si>
    <t>J. Taylor</t>
  </si>
  <si>
    <t>J. Conner</t>
  </si>
  <si>
    <t>TE</t>
  </si>
  <si>
    <t>Kelce</t>
  </si>
  <si>
    <t>Jahmyr</t>
  </si>
  <si>
    <t>Gibbs</t>
  </si>
  <si>
    <t>J. Gibbs</t>
  </si>
  <si>
    <t>Kyler</t>
  </si>
  <si>
    <t>Murray</t>
  </si>
  <si>
    <t>K</t>
  </si>
  <si>
    <t>Tucker</t>
  </si>
  <si>
    <t>Evan</t>
  </si>
  <si>
    <t>McPherson</t>
  </si>
  <si>
    <t>J. Tucker</t>
  </si>
  <si>
    <t>Amon-Ra</t>
  </si>
  <si>
    <t>St. Brown</t>
  </si>
  <si>
    <t>Tyler</t>
  </si>
  <si>
    <t>Bass</t>
  </si>
  <si>
    <t>T. Bass</t>
  </si>
  <si>
    <t>Daniel</t>
  </si>
  <si>
    <t>Carlson</t>
  </si>
  <si>
    <t>E. McPherson</t>
  </si>
  <si>
    <t>Herbert</t>
  </si>
  <si>
    <t>Matt</t>
  </si>
  <si>
    <t>Prater</t>
  </si>
  <si>
    <t>Harrison</t>
  </si>
  <si>
    <t>Butker</t>
  </si>
  <si>
    <t>H. Butker</t>
  </si>
  <si>
    <t>Jaylen</t>
  </si>
  <si>
    <t>Waddle</t>
  </si>
  <si>
    <t>Burrow</t>
  </si>
  <si>
    <t>J. Burrow</t>
  </si>
  <si>
    <t>D. Carlson</t>
  </si>
  <si>
    <t>Deebo</t>
  </si>
  <si>
    <t>Samuel</t>
  </si>
  <si>
    <t>Younghoe</t>
  </si>
  <si>
    <t>Koo</t>
  </si>
  <si>
    <t>Y. Koo</t>
  </si>
  <si>
    <t>J. Waddle</t>
  </si>
  <si>
    <t>Folk</t>
  </si>
  <si>
    <t>Tee</t>
  </si>
  <si>
    <t>Higgins</t>
  </si>
  <si>
    <t>Gay</t>
  </si>
  <si>
    <t>Garrett</t>
  </si>
  <si>
    <t>Wilson</t>
  </si>
  <si>
    <t>G. Wilson</t>
  </si>
  <si>
    <t>T. Kelce</t>
  </si>
  <si>
    <t>Jason</t>
  </si>
  <si>
    <t>J. Sanders</t>
  </si>
  <si>
    <t>Graham</t>
  </si>
  <si>
    <t>Gano</t>
  </si>
  <si>
    <t>G. Gano</t>
  </si>
  <si>
    <t>Calvin</t>
  </si>
  <si>
    <t>Ridley</t>
  </si>
  <si>
    <t>C. Ridley</t>
  </si>
  <si>
    <t>Chris</t>
  </si>
  <si>
    <t>Olave</t>
  </si>
  <si>
    <t>C. Olave</t>
  </si>
  <si>
    <t>DeVonta</t>
  </si>
  <si>
    <t>Smith</t>
  </si>
  <si>
    <t>D. Smith</t>
  </si>
  <si>
    <t>T. Higgins</t>
  </si>
  <si>
    <t>Jake</t>
  </si>
  <si>
    <t>J. Elliott</t>
  </si>
  <si>
    <t>Mike</t>
  </si>
  <si>
    <t>Williams</t>
  </si>
  <si>
    <t>Myers</t>
  </si>
  <si>
    <t>J. Myers</t>
  </si>
  <si>
    <t>Brandon</t>
  </si>
  <si>
    <t>McManus</t>
  </si>
  <si>
    <t>Mark</t>
  </si>
  <si>
    <t>Andrews</t>
  </si>
  <si>
    <t>B. McManus</t>
  </si>
  <si>
    <t>Cameron</t>
  </si>
  <si>
    <t>Dicker</t>
  </si>
  <si>
    <t>C. Dicker</t>
  </si>
  <si>
    <t>C. Kupp</t>
  </si>
  <si>
    <t>D. Samuel</t>
  </si>
  <si>
    <t>Ryan</t>
  </si>
  <si>
    <t>Succop</t>
  </si>
  <si>
    <t>Godwin</t>
  </si>
  <si>
    <t>C. Godwin</t>
  </si>
  <si>
    <t>DK</t>
  </si>
  <si>
    <t>Metcalf</t>
  </si>
  <si>
    <t>D. Metcalf</t>
  </si>
  <si>
    <t>J. Herbert</t>
  </si>
  <si>
    <t>Evans</t>
  </si>
  <si>
    <t>M. Evans</t>
  </si>
  <si>
    <t>DJ</t>
  </si>
  <si>
    <t>Moore</t>
  </si>
  <si>
    <t>D. Moore</t>
  </si>
  <si>
    <t>Amari</t>
  </si>
  <si>
    <t>A. Cooper</t>
  </si>
  <si>
    <t>Courtland</t>
  </si>
  <si>
    <t>Sutton</t>
  </si>
  <si>
    <t>Michael</t>
  </si>
  <si>
    <t>Thomas</t>
  </si>
  <si>
    <t>Keenan</t>
  </si>
  <si>
    <t>K. Allen</t>
  </si>
  <si>
    <t>Drake</t>
  </si>
  <si>
    <t>London</t>
  </si>
  <si>
    <t>D. London</t>
  </si>
  <si>
    <t>Terry</t>
  </si>
  <si>
    <t>McLaurin</t>
  </si>
  <si>
    <t>T. McLaurin</t>
  </si>
  <si>
    <t>Pittman</t>
  </si>
  <si>
    <t>Tua</t>
  </si>
  <si>
    <t>Tagovailoa</t>
  </si>
  <si>
    <t>T. Tagovailoa</t>
  </si>
  <si>
    <t>Brandin</t>
  </si>
  <si>
    <t>Cooks</t>
  </si>
  <si>
    <t>Fields</t>
  </si>
  <si>
    <t>J. Fields</t>
  </si>
  <si>
    <t>DeAndre</t>
  </si>
  <si>
    <t>Hopkins</t>
  </si>
  <si>
    <t>D. Hopkins</t>
  </si>
  <si>
    <t>Aiyuk</t>
  </si>
  <si>
    <t>B. Aiyuk</t>
  </si>
  <si>
    <t>JuJu</t>
  </si>
  <si>
    <t>Smith-Schuster</t>
  </si>
  <si>
    <t>Lockett</t>
  </si>
  <si>
    <t>T. Lockett</t>
  </si>
  <si>
    <t>Jerry</t>
  </si>
  <si>
    <t>Jeudy</t>
  </si>
  <si>
    <t>J. Jeudy</t>
  </si>
  <si>
    <t>Trevor</t>
  </si>
  <si>
    <t>Lawrence</t>
  </si>
  <si>
    <t>T. Lawrence</t>
  </si>
  <si>
    <t>M. Williams</t>
  </si>
  <si>
    <t>Dak</t>
  </si>
  <si>
    <t>Prescott</t>
  </si>
  <si>
    <t>D. Prescott</t>
  </si>
  <si>
    <t>Diontae</t>
  </si>
  <si>
    <t>Johnson</t>
  </si>
  <si>
    <t>Deshaun</t>
  </si>
  <si>
    <t>Watson</t>
  </si>
  <si>
    <t>D. Watson</t>
  </si>
  <si>
    <t>Kirk</t>
  </si>
  <si>
    <t>C. Kirk</t>
  </si>
  <si>
    <t>M. Andrews</t>
  </si>
  <si>
    <t>Gabe</t>
  </si>
  <si>
    <t>Davis</t>
  </si>
  <si>
    <t>M. Pittman</t>
  </si>
  <si>
    <t>Rashod</t>
  </si>
  <si>
    <t>Bateman</t>
  </si>
  <si>
    <t>George</t>
  </si>
  <si>
    <t>Pickens</t>
  </si>
  <si>
    <t>G. Pickens</t>
  </si>
  <si>
    <t>Tom</t>
  </si>
  <si>
    <t>Brady</t>
  </si>
  <si>
    <t>Hollywood</t>
  </si>
  <si>
    <t>H. Brown</t>
  </si>
  <si>
    <t>Elijah</t>
  </si>
  <si>
    <t>Mitchell</t>
  </si>
  <si>
    <t>Darnell</t>
  </si>
  <si>
    <t>Mooney</t>
  </si>
  <si>
    <t>Adam</t>
  </si>
  <si>
    <t>Thielen</t>
  </si>
  <si>
    <t>Jordan</t>
  </si>
  <si>
    <t>Addison</t>
  </si>
  <si>
    <t>J. Addison</t>
  </si>
  <si>
    <t>C. Akers</t>
  </si>
  <si>
    <t>C. Watson</t>
  </si>
  <si>
    <t>T.J.</t>
  </si>
  <si>
    <t>Hockenson</t>
  </si>
  <si>
    <t>T. Hockenson</t>
  </si>
  <si>
    <t>Dallas</t>
  </si>
  <si>
    <t>Goedert</t>
  </si>
  <si>
    <t>Kittle</t>
  </si>
  <si>
    <t>G. Kittle</t>
  </si>
  <si>
    <t>Darren</t>
  </si>
  <si>
    <t>Waller</t>
  </si>
  <si>
    <t>D. Waller</t>
  </si>
  <si>
    <t>D. Goedert</t>
  </si>
  <si>
    <t>Kyle</t>
  </si>
  <si>
    <t>Pitts</t>
  </si>
  <si>
    <t>K. Pitts</t>
  </si>
  <si>
    <t>D. Johnson</t>
  </si>
  <si>
    <t>Zach</t>
  </si>
  <si>
    <t>Ertz</t>
  </si>
  <si>
    <t>Njoku</t>
  </si>
  <si>
    <t>D. Njoku</t>
  </si>
  <si>
    <t>Engram</t>
  </si>
  <si>
    <t>E. Engram</t>
  </si>
  <si>
    <t>Pat</t>
  </si>
  <si>
    <t>Freiermuth</t>
  </si>
  <si>
    <t>P. Freiermuth</t>
  </si>
  <si>
    <t>Dalton</t>
  </si>
  <si>
    <t>Schultz</t>
  </si>
  <si>
    <t>Rodrigo</t>
  </si>
  <si>
    <t>Blankenship</t>
  </si>
  <si>
    <t>Hunter</t>
  </si>
  <si>
    <t>Renfrow</t>
  </si>
  <si>
    <t>Dawson</t>
  </si>
  <si>
    <t>Knox</t>
  </si>
  <si>
    <t>FB</t>
  </si>
  <si>
    <t>Juszczyk</t>
  </si>
  <si>
    <t>K. Juszczyk</t>
  </si>
  <si>
    <t>DEF</t>
  </si>
  <si>
    <t>SF</t>
  </si>
  <si>
    <t>San Francisco</t>
  </si>
  <si>
    <t>49ers</t>
  </si>
  <si>
    <t>S. 49ers</t>
  </si>
  <si>
    <t>Cole</t>
  </si>
  <si>
    <t>Kmet</t>
  </si>
  <si>
    <t>Russell</t>
  </si>
  <si>
    <t>Rodgers</t>
  </si>
  <si>
    <t>D. Schultz</t>
  </si>
  <si>
    <t>DAL</t>
  </si>
  <si>
    <t>Cowboys</t>
  </si>
  <si>
    <t>D. Cowboys</t>
  </si>
  <si>
    <t>Kincaid</t>
  </si>
  <si>
    <t>D. Kincaid</t>
  </si>
  <si>
    <t>BUF</t>
  </si>
  <si>
    <t>Buffalo</t>
  </si>
  <si>
    <t>Bills</t>
  </si>
  <si>
    <t>B. Bills</t>
  </si>
  <si>
    <t>TB</t>
  </si>
  <si>
    <t>Tampa Bay</t>
  </si>
  <si>
    <t>Buccaneers</t>
  </si>
  <si>
    <t>Alec</t>
  </si>
  <si>
    <t>Ingold</t>
  </si>
  <si>
    <t>PHI</t>
  </si>
  <si>
    <t>Philadelphia</t>
  </si>
  <si>
    <t>Eagles</t>
  </si>
  <si>
    <t>P. Eagles</t>
  </si>
  <si>
    <t>MIA</t>
  </si>
  <si>
    <t>Miami</t>
  </si>
  <si>
    <t>Dolphins</t>
  </si>
  <si>
    <t>M. Dolphins</t>
  </si>
  <si>
    <t>Burton</t>
  </si>
  <si>
    <t>Jakob</t>
  </si>
  <si>
    <t>NO</t>
  </si>
  <si>
    <t>New Orleans</t>
  </si>
  <si>
    <t>Saints</t>
  </si>
  <si>
    <t>Derek</t>
  </si>
  <si>
    <t>Watt</t>
  </si>
  <si>
    <t>BAL</t>
  </si>
  <si>
    <t>Baltimore</t>
  </si>
  <si>
    <t>Ravens</t>
  </si>
  <si>
    <t>NE</t>
  </si>
  <si>
    <t>New England</t>
  </si>
  <si>
    <t>Patriots</t>
  </si>
  <si>
    <t>N. Patriots</t>
  </si>
  <si>
    <t>PIT</t>
  </si>
  <si>
    <t>Pittsburgh</t>
  </si>
  <si>
    <t>Steelers</t>
  </si>
  <si>
    <t>P. Steelers</t>
  </si>
  <si>
    <t>SEA</t>
  </si>
  <si>
    <t>Seattle</t>
  </si>
  <si>
    <t>Seahawks</t>
  </si>
  <si>
    <t>S. Seahawks</t>
  </si>
  <si>
    <t>LAR</t>
  </si>
  <si>
    <t>Los Angeles</t>
  </si>
  <si>
    <t>Rams</t>
  </si>
  <si>
    <t>NYJ</t>
  </si>
  <si>
    <t>New York</t>
  </si>
  <si>
    <t>Jets</t>
  </si>
  <si>
    <t>N. Jets</t>
  </si>
  <si>
    <t>GB</t>
  </si>
  <si>
    <t>Green Bay</t>
  </si>
  <si>
    <t>Packers</t>
  </si>
  <si>
    <t>N. Saints</t>
  </si>
  <si>
    <t>IND</t>
  </si>
  <si>
    <t>Indianapolis</t>
  </si>
  <si>
    <t>Colts</t>
  </si>
  <si>
    <t>LAC</t>
  </si>
  <si>
    <t>Chargers</t>
  </si>
  <si>
    <t>B. Ravens</t>
  </si>
  <si>
    <t>WAS</t>
  </si>
  <si>
    <t>Washington</t>
  </si>
  <si>
    <t>Commanders</t>
  </si>
  <si>
    <t>W. Commanders</t>
  </si>
  <si>
    <t>DEN</t>
  </si>
  <si>
    <t>Denver</t>
  </si>
  <si>
    <t>Broncos</t>
  </si>
  <si>
    <t>CB</t>
  </si>
  <si>
    <t>P</t>
  </si>
  <si>
    <t>Wile</t>
  </si>
  <si>
    <t>Ty</t>
  </si>
  <si>
    <t>Long</t>
  </si>
  <si>
    <t>Palardy</t>
  </si>
  <si>
    <t>Wright</t>
  </si>
  <si>
    <t>B. Williams</t>
  </si>
  <si>
    <t>B. Wright</t>
  </si>
  <si>
    <t>M. Wile</t>
  </si>
  <si>
    <t>M. Palardy</t>
  </si>
  <si>
    <t>T. Long</t>
  </si>
  <si>
    <t>Dan</t>
  </si>
  <si>
    <t>Vitale</t>
  </si>
  <si>
    <t>Khalid</t>
  </si>
  <si>
    <t>Poggi</t>
  </si>
  <si>
    <t>Bruce</t>
  </si>
  <si>
    <t>Miller</t>
  </si>
  <si>
    <t>Develin</t>
  </si>
  <si>
    <t>Bacci</t>
  </si>
  <si>
    <t>DiMarco</t>
  </si>
  <si>
    <t>Luke</t>
  </si>
  <si>
    <t>Sellers</t>
  </si>
  <si>
    <t>Robert</t>
  </si>
  <si>
    <t>Burns</t>
  </si>
  <si>
    <t>R. Burns</t>
  </si>
  <si>
    <t>Algernon</t>
  </si>
  <si>
    <t>Pearson</t>
  </si>
  <si>
    <t>H. Pearson</t>
  </si>
  <si>
    <t>B. Miller</t>
  </si>
  <si>
    <t>Jack</t>
  </si>
  <si>
    <t>Colletto</t>
  </si>
  <si>
    <t>J. Colletto</t>
  </si>
  <si>
    <t>Line</t>
  </si>
  <si>
    <t>Z. Line</t>
  </si>
  <si>
    <t>H. Poggi</t>
  </si>
  <si>
    <t>Cabinda</t>
  </si>
  <si>
    <t>J. Cabinda</t>
  </si>
  <si>
    <t>C.J.</t>
  </si>
  <si>
    <t>Ham</t>
  </si>
  <si>
    <t>C. Ham</t>
  </si>
  <si>
    <t>J. Johnson</t>
  </si>
  <si>
    <t>Luepke</t>
  </si>
  <si>
    <t>H. Luepke</t>
  </si>
  <si>
    <t>Javonte</t>
  </si>
  <si>
    <t>N. Chubb</t>
  </si>
  <si>
    <t>J. Dobbins</t>
  </si>
  <si>
    <t>Trey</t>
  </si>
  <si>
    <t>Lance</t>
  </si>
  <si>
    <t>A. Rodgers</t>
  </si>
  <si>
    <t>Table 1</t>
  </si>
  <si>
    <t>F</t>
  </si>
  <si>
    <t>Last</t>
  </si>
  <si>
    <t>Pos</t>
  </si>
  <si>
    <t>T</t>
  </si>
  <si>
    <t>J</t>
  </si>
  <si>
    <t>D</t>
  </si>
  <si>
    <t>L</t>
  </si>
  <si>
    <t>N</t>
  </si>
  <si>
    <t>S</t>
  </si>
  <si>
    <t>C</t>
  </si>
  <si>
    <t>R</t>
  </si>
  <si>
    <t>A</t>
  </si>
  <si>
    <t>White</t>
  </si>
  <si>
    <t>R. White</t>
  </si>
  <si>
    <t>D. Cook</t>
  </si>
  <si>
    <t>M</t>
  </si>
  <si>
    <t>M. Thomas</t>
  </si>
  <si>
    <t>B</t>
  </si>
  <si>
    <t>Dotson</t>
  </si>
  <si>
    <t>J. Dotson</t>
  </si>
  <si>
    <t>M. Brown</t>
  </si>
  <si>
    <t>R. Bateman</t>
  </si>
  <si>
    <t>J. Smith-Schuster</t>
  </si>
  <si>
    <t>E</t>
  </si>
  <si>
    <t>Okonkwo</t>
  </si>
  <si>
    <t>C. Okonkwo</t>
  </si>
  <si>
    <t>I</t>
  </si>
  <si>
    <t>Pacheco</t>
  </si>
  <si>
    <t>I. Pacheco</t>
  </si>
  <si>
    <t>G</t>
  </si>
  <si>
    <t>D. Montgomery</t>
  </si>
  <si>
    <t>Smith-Njigba</t>
  </si>
  <si>
    <t>J. Smith-Njigba</t>
  </si>
  <si>
    <t>Burks</t>
  </si>
  <si>
    <t>T. Burks</t>
  </si>
  <si>
    <t>Zuerlein</t>
  </si>
  <si>
    <t>G. Zuerlein</t>
  </si>
  <si>
    <t>H</t>
  </si>
  <si>
    <t>Y</t>
  </si>
  <si>
    <t>W</t>
  </si>
  <si>
    <t>A. Dillon</t>
  </si>
  <si>
    <t>Lazard</t>
  </si>
  <si>
    <t>A. Lazard</t>
  </si>
  <si>
    <t>Perine</t>
  </si>
  <si>
    <t>S. Perine</t>
  </si>
  <si>
    <t>Z</t>
  </si>
  <si>
    <t>Flowers</t>
  </si>
  <si>
    <t>Z. Flowers</t>
  </si>
  <si>
    <t>B. Cooks</t>
  </si>
  <si>
    <t>Allgeier</t>
  </si>
  <si>
    <t>T. Allgeier</t>
  </si>
  <si>
    <t>Gibson</t>
  </si>
  <si>
    <t>A. Gibson</t>
  </si>
  <si>
    <t>Singletary</t>
  </si>
  <si>
    <t>D. Singletary</t>
  </si>
  <si>
    <t>K. Herbert</t>
  </si>
  <si>
    <t>Hyatt</t>
  </si>
  <si>
    <t>J. Hyatt</t>
  </si>
  <si>
    <t>J. Cook</t>
  </si>
  <si>
    <t>G. Smith</t>
  </si>
  <si>
    <t>D. Mooney</t>
  </si>
  <si>
    <t>M. Ryan</t>
  </si>
  <si>
    <t>Mostert</t>
  </si>
  <si>
    <t>R. Mostert</t>
  </si>
  <si>
    <t>McKinnon</t>
  </si>
  <si>
    <t>J. McKinnon</t>
  </si>
  <si>
    <t>Dulcich</t>
  </si>
  <si>
    <t>G. Dulcich</t>
  </si>
  <si>
    <t>V</t>
  </si>
  <si>
    <t>V. Jefferson</t>
  </si>
  <si>
    <t>J. Williams</t>
  </si>
  <si>
    <t>Patterson</t>
  </si>
  <si>
    <t>R. Patterson</t>
  </si>
  <si>
    <t>G. Packers</t>
  </si>
  <si>
    <t>D. Broncos</t>
  </si>
  <si>
    <t>A. Kamara</t>
  </si>
  <si>
    <t>Gainwell</t>
  </si>
  <si>
    <t>K. Gainwell</t>
  </si>
  <si>
    <t>G. Davis</t>
  </si>
  <si>
    <t>Richardson</t>
  </si>
  <si>
    <t>A. Richardson</t>
  </si>
  <si>
    <t>R. Johnson</t>
  </si>
  <si>
    <t>O</t>
  </si>
  <si>
    <t>Beckham</t>
  </si>
  <si>
    <t>O. Beckham</t>
  </si>
  <si>
    <t>A. Thielen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</si>
</sst>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00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H398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7.85156" style="1" customWidth="1"/>
    <col min="3" max="3" width="13" style="1" customWidth="1"/>
    <col min="4" max="4" width="8.67188" style="1" customWidth="1"/>
    <col min="5" max="5" width="7.17188" style="1" customWidth="1"/>
    <col min="6" max="6" width="8.5" style="1" customWidth="1"/>
    <col min="7" max="7" width="9.5" style="1" customWidth="1"/>
    <col min="8" max="8" width="11.6719" style="1" customWidth="1"/>
    <col min="9" max="9" width="12.1719" style="1" customWidth="1"/>
    <col min="10" max="11" width="10.6719" style="1" customWidth="1"/>
    <col min="12" max="12" width="13" style="1" customWidth="1"/>
    <col min="13" max="13" width="18.3516" style="1" customWidth="1"/>
    <col min="14" max="14" width="8.67188" style="1" customWidth="1"/>
    <col min="15" max="15" width="8.17188" style="1" customWidth="1"/>
    <col min="16" max="17" width="17.6719" style="1" customWidth="1"/>
    <col min="18" max="24" hidden="1" width="8.33333" style="1" customWidth="1"/>
    <col min="25" max="28" width="17.6719" style="1" customWidth="1"/>
    <col min="29" max="34" width="16.3516" style="17" customWidth="1"/>
    <col min="35" max="16384" width="8.35156" style="17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  <c r="L2" t="s" s="4">
        <v>11</v>
      </c>
      <c r="M2" t="s" s="4">
        <v>12</v>
      </c>
      <c r="N2" t="s" s="4">
        <v>13</v>
      </c>
      <c r="O2" t="s" s="4">
        <v>14</v>
      </c>
      <c r="P2" t="s" s="4">
        <v>15</v>
      </c>
      <c r="Q2" t="s" s="4">
        <v>16</v>
      </c>
      <c r="R2" t="s" s="4">
        <v>17</v>
      </c>
      <c r="S2" t="s" s="4">
        <v>18</v>
      </c>
      <c r="T2" t="s" s="4">
        <v>19</v>
      </c>
      <c r="U2" t="s" s="4">
        <v>20</v>
      </c>
      <c r="V2" t="s" s="4">
        <v>21</v>
      </c>
      <c r="W2" t="s" s="4">
        <v>22</v>
      </c>
      <c r="X2" t="s" s="4">
        <v>23</v>
      </c>
      <c r="Y2" t="s" s="4">
        <v>24</v>
      </c>
      <c r="Z2" t="s" s="4">
        <v>25</v>
      </c>
      <c r="AA2" t="s" s="4">
        <v>26</v>
      </c>
      <c r="AB2" t="s" s="4">
        <v>27</v>
      </c>
    </row>
    <row r="3" ht="20.25" customHeight="1">
      <c r="A3" s="5">
        <v>53</v>
      </c>
      <c r="B3" t="s" s="6">
        <v>28</v>
      </c>
      <c r="C3" s="7">
        <v>309</v>
      </c>
      <c r="D3" s="7">
        <v>4034</v>
      </c>
      <c r="E3" s="7">
        <v>2023</v>
      </c>
      <c r="F3" t="s" s="8">
        <v>29</v>
      </c>
      <c r="G3" s="7">
        <v>7</v>
      </c>
      <c r="H3" s="7">
        <v>2.8</v>
      </c>
      <c r="I3" t="s" s="8">
        <v>30</v>
      </c>
      <c r="J3" t="s" s="8">
        <v>31</v>
      </c>
      <c r="K3" t="s" s="8">
        <f>_xlfn.CONCAT(LEFT(I3,1),". ",J3)</f>
        <v>32</v>
      </c>
      <c r="L3" s="7">
        <v>357.8</v>
      </c>
      <c r="M3" s="7">
        <v>48.8</v>
      </c>
      <c r="N3" s="7">
        <v>213.8</v>
      </c>
      <c r="O3" s="7">
        <v>96.40000000000001</v>
      </c>
      <c r="P3" s="7">
        <v>212.6</v>
      </c>
      <c r="Q3" s="7">
        <f>P3*4800/SUM(P3:P252)</f>
        <v>67.9273013861302</v>
      </c>
      <c r="R3" s="7">
        <v>213.208888888889</v>
      </c>
      <c r="S3" s="9">
        <v>1627.093555555560</v>
      </c>
      <c r="T3" s="7">
        <v>-26.4791111111111</v>
      </c>
      <c r="U3" s="9">
        <v>2651.024017373740</v>
      </c>
      <c r="V3" s="7">
        <v>176.409166666667</v>
      </c>
      <c r="W3" s="7">
        <v>0.619670678091846</v>
      </c>
      <c r="X3" s="7">
        <v>272.567831666283</v>
      </c>
      <c r="Y3" s="7">
        <f>X3-O3</f>
        <v>176.167831666283</v>
      </c>
      <c r="Z3" s="7">
        <f>Y3*4800/SUM(Y3:Y252)</f>
        <v>59.679808370797</v>
      </c>
      <c r="AA3" s="10"/>
      <c r="AB3" s="7">
        <f>_xlfn.XLOOKUP(K3,AF256:AF398,AH256:AH398)</f>
        <v>63</v>
      </c>
    </row>
    <row r="4" ht="8.35" customHeight="1" hidden="1">
      <c r="A4" s="11">
        <v>54</v>
      </c>
      <c r="B4" t="s" s="12">
        <v>28</v>
      </c>
      <c r="C4" s="13">
        <v>277.1</v>
      </c>
      <c r="D4" s="13">
        <v>4034</v>
      </c>
      <c r="E4" s="13">
        <v>2022</v>
      </c>
      <c r="F4" t="s" s="14">
        <v>29</v>
      </c>
      <c r="G4" s="13">
        <v>7</v>
      </c>
      <c r="H4" s="13">
        <v>2.3</v>
      </c>
      <c r="I4" t="s" s="14">
        <v>30</v>
      </c>
      <c r="J4" t="s" s="14">
        <v>31</v>
      </c>
      <c r="K4" s="15"/>
      <c r="L4" s="13">
        <v>313.86</v>
      </c>
      <c r="M4" s="13">
        <v>36.76</v>
      </c>
      <c r="N4" s="13">
        <v>213.8</v>
      </c>
      <c r="O4" s="13">
        <v>96.40000000000001</v>
      </c>
      <c r="P4" s="13">
        <v>180.7</v>
      </c>
      <c r="Q4" s="15"/>
      <c r="R4" s="13">
        <v>213.208888888889</v>
      </c>
      <c r="S4" s="16">
        <v>1627.093555555560</v>
      </c>
      <c r="T4" s="13">
        <v>-26.4791111111111</v>
      </c>
      <c r="U4" s="16">
        <v>2651.024017373740</v>
      </c>
      <c r="V4" s="13">
        <v>176.409166666667</v>
      </c>
      <c r="W4" s="13">
        <v>0.619670678091846</v>
      </c>
      <c r="X4" s="13">
        <v>252.800337035153</v>
      </c>
      <c r="Y4" s="13">
        <f>X4-O4</f>
        <v>156.400337035153</v>
      </c>
      <c r="Z4" s="13">
        <f>Y4*4800/SUM(Y3:Y252)</f>
        <v>52.9832379447538</v>
      </c>
      <c r="AA4" s="15"/>
      <c r="AB4" s="15"/>
    </row>
    <row r="5" ht="8.35" customHeight="1" hidden="1">
      <c r="A5" s="11">
        <v>63</v>
      </c>
      <c r="B5" t="s" s="12">
        <v>28</v>
      </c>
      <c r="C5" s="13">
        <v>274.3</v>
      </c>
      <c r="D5" s="13">
        <v>4866</v>
      </c>
      <c r="E5" s="13">
        <v>2022</v>
      </c>
      <c r="F5" t="s" s="14">
        <v>29</v>
      </c>
      <c r="G5" s="13">
        <v>6</v>
      </c>
      <c r="H5" s="13">
        <v>17.7</v>
      </c>
      <c r="I5" t="s" s="14">
        <v>33</v>
      </c>
      <c r="J5" t="s" s="14">
        <v>34</v>
      </c>
      <c r="K5" s="15"/>
      <c r="L5" s="13">
        <v>254.5</v>
      </c>
      <c r="M5" s="13">
        <v>-19.8</v>
      </c>
      <c r="N5" s="13">
        <v>213.8</v>
      </c>
      <c r="O5" s="13">
        <v>96.40000000000001</v>
      </c>
      <c r="P5" s="13">
        <v>177.9</v>
      </c>
      <c r="Q5" s="15"/>
      <c r="R5" s="13">
        <v>213.208888888889</v>
      </c>
      <c r="S5" s="16">
        <v>1627.093555555560</v>
      </c>
      <c r="T5" s="13">
        <v>-26.4791111111111</v>
      </c>
      <c r="U5" s="16">
        <v>2651.024017373740</v>
      </c>
      <c r="V5" s="13">
        <v>176.409166666667</v>
      </c>
      <c r="W5" s="13">
        <v>0.619670678091846</v>
      </c>
      <c r="X5" s="13">
        <v>251.065259136495</v>
      </c>
      <c r="Y5" s="13">
        <f>X5-O5</f>
        <v>154.665259136495</v>
      </c>
      <c r="Z5" s="13">
        <f>Y5*4800/SUM(Y3:Y252)</f>
        <v>52.3954511988939</v>
      </c>
      <c r="AA5" s="15"/>
      <c r="AB5" s="15"/>
    </row>
    <row r="6" ht="8.35" customHeight="1" hidden="1">
      <c r="A6" s="11">
        <v>62</v>
      </c>
      <c r="B6" t="s" s="12">
        <v>28</v>
      </c>
      <c r="C6" s="13">
        <v>263.5</v>
      </c>
      <c r="D6" s="13">
        <v>4988</v>
      </c>
      <c r="E6" s="13">
        <v>2022</v>
      </c>
      <c r="F6" t="s" s="14">
        <v>29</v>
      </c>
      <c r="G6" s="13">
        <v>6</v>
      </c>
      <c r="H6" s="13">
        <v>16.1</v>
      </c>
      <c r="I6" t="s" s="14">
        <v>35</v>
      </c>
      <c r="J6" t="s" s="14">
        <v>36</v>
      </c>
      <c r="K6" s="15"/>
      <c r="L6" s="13">
        <v>267.9</v>
      </c>
      <c r="M6" s="13">
        <v>4.39999999999998</v>
      </c>
      <c r="N6" s="13">
        <v>213.8</v>
      </c>
      <c r="O6" s="13">
        <v>96.40000000000001</v>
      </c>
      <c r="P6" s="13">
        <v>167.1</v>
      </c>
      <c r="Q6" s="15"/>
      <c r="R6" s="13">
        <v>213.208888888889</v>
      </c>
      <c r="S6" s="16">
        <v>1627.093555555560</v>
      </c>
      <c r="T6" s="13">
        <v>-26.4791111111111</v>
      </c>
      <c r="U6" s="16">
        <v>2651.024017373740</v>
      </c>
      <c r="V6" s="13">
        <v>176.409166666667</v>
      </c>
      <c r="W6" s="13">
        <v>0.619670678091846</v>
      </c>
      <c r="X6" s="13">
        <v>244.372815813104</v>
      </c>
      <c r="Y6" s="13">
        <f>X6-O6</f>
        <v>147.972815813104</v>
      </c>
      <c r="Z6" s="13">
        <f>Y6*4800/SUM(Y3:Y252)</f>
        <v>50.1282737505787</v>
      </c>
      <c r="AA6" s="15"/>
      <c r="AB6" s="15"/>
    </row>
    <row r="7" ht="8.35" customHeight="1" hidden="1">
      <c r="A7" s="11">
        <v>55</v>
      </c>
      <c r="B7" t="s" s="12">
        <v>28</v>
      </c>
      <c r="C7" s="13">
        <v>263</v>
      </c>
      <c r="D7" s="13">
        <v>3198</v>
      </c>
      <c r="E7" s="13">
        <v>2022</v>
      </c>
      <c r="F7" t="s" s="14">
        <v>29</v>
      </c>
      <c r="G7" s="13">
        <v>8</v>
      </c>
      <c r="H7" s="13">
        <v>3.1</v>
      </c>
      <c r="I7" t="s" s="14">
        <v>37</v>
      </c>
      <c r="J7" t="s" s="14">
        <v>38</v>
      </c>
      <c r="K7" s="15"/>
      <c r="L7" s="13">
        <v>285.26</v>
      </c>
      <c r="M7" s="13">
        <v>22.26</v>
      </c>
      <c r="N7" s="13">
        <v>213.8</v>
      </c>
      <c r="O7" s="13">
        <v>96.40000000000001</v>
      </c>
      <c r="P7" s="13">
        <v>166.6</v>
      </c>
      <c r="Q7" s="15"/>
      <c r="R7" s="13">
        <v>213.208888888889</v>
      </c>
      <c r="S7" s="16">
        <v>1627.093555555560</v>
      </c>
      <c r="T7" s="13">
        <v>-26.4791111111111</v>
      </c>
      <c r="U7" s="16">
        <v>2651.024017373740</v>
      </c>
      <c r="V7" s="13">
        <v>176.409166666667</v>
      </c>
      <c r="W7" s="13">
        <v>0.619670678091846</v>
      </c>
      <c r="X7" s="13">
        <v>244.062980474058</v>
      </c>
      <c r="Y7" s="13">
        <f>X7-O7</f>
        <v>147.662980474058</v>
      </c>
      <c r="Z7" s="13">
        <f>Y7*4800/SUM(Y3:Y252)</f>
        <v>50.0233118316751</v>
      </c>
      <c r="AA7" s="15"/>
      <c r="AB7" s="15"/>
    </row>
    <row r="8" ht="20.05" customHeight="1">
      <c r="A8" s="11">
        <v>54</v>
      </c>
      <c r="B8" t="s" s="12">
        <v>28</v>
      </c>
      <c r="C8" s="13">
        <v>260.7</v>
      </c>
      <c r="D8" s="13">
        <v>4663</v>
      </c>
      <c r="E8" s="13">
        <v>2023</v>
      </c>
      <c r="F8" t="s" s="14">
        <v>29</v>
      </c>
      <c r="G8" s="13">
        <v>7</v>
      </c>
      <c r="H8" s="13">
        <v>4.3</v>
      </c>
      <c r="I8" t="s" s="14">
        <v>39</v>
      </c>
      <c r="J8" t="s" s="14">
        <v>40</v>
      </c>
      <c r="K8" t="s" s="14">
        <f>_xlfn.CONCAT(LEFT(I8,1),". ",J8)</f>
        <v>41</v>
      </c>
      <c r="L8" s="13">
        <v>159.9</v>
      </c>
      <c r="M8" s="13">
        <v>-100.8</v>
      </c>
      <c r="N8" s="13">
        <v>213.8</v>
      </c>
      <c r="O8" s="13">
        <v>96.40000000000001</v>
      </c>
      <c r="P8" s="13">
        <v>164.3</v>
      </c>
      <c r="Q8" s="13">
        <f>P8*4800/SUM(P3:P252)</f>
        <v>52.4950875716895</v>
      </c>
      <c r="R8" s="13">
        <v>213.208888888889</v>
      </c>
      <c r="S8" s="16">
        <v>1627.093555555560</v>
      </c>
      <c r="T8" s="13">
        <v>-26.4791111111111</v>
      </c>
      <c r="U8" s="16">
        <v>2651.024017373740</v>
      </c>
      <c r="V8" s="13">
        <v>176.409166666667</v>
      </c>
      <c r="W8" s="13">
        <v>0.619670678091846</v>
      </c>
      <c r="X8" s="13">
        <v>242.637737914446</v>
      </c>
      <c r="Y8" s="13">
        <f>X8-O8</f>
        <v>146.237737914446</v>
      </c>
      <c r="Z8" s="13">
        <f>Y8*4800/SUM(Y3:Y252)</f>
        <v>49.5404870047188</v>
      </c>
      <c r="AA8" s="15"/>
      <c r="AB8" s="13">
        <f>_xlfn.XLOOKUP(K8,AF256:AF398,AH256:AH398)</f>
        <v>59</v>
      </c>
    </row>
    <row r="9" ht="8.35" customHeight="1" hidden="1">
      <c r="A9" s="11">
        <v>59</v>
      </c>
      <c r="B9" t="s" s="12">
        <v>28</v>
      </c>
      <c r="C9" s="13">
        <v>250</v>
      </c>
      <c r="D9" s="13">
        <v>4018</v>
      </c>
      <c r="E9" s="13">
        <v>2022</v>
      </c>
      <c r="F9" t="s" s="14">
        <v>29</v>
      </c>
      <c r="G9" s="13">
        <v>7</v>
      </c>
      <c r="H9" s="13">
        <v>9.9</v>
      </c>
      <c r="I9" t="s" s="14">
        <v>42</v>
      </c>
      <c r="J9" t="s" s="14">
        <v>43</v>
      </c>
      <c r="K9" s="15"/>
      <c r="L9" s="13">
        <v>210.7</v>
      </c>
      <c r="M9" s="13">
        <v>-39.3</v>
      </c>
      <c r="N9" s="13">
        <v>213.8</v>
      </c>
      <c r="O9" s="13">
        <v>96.40000000000001</v>
      </c>
      <c r="P9" s="13">
        <v>153.6</v>
      </c>
      <c r="Q9" s="15"/>
      <c r="R9" s="13">
        <v>213.208888888889</v>
      </c>
      <c r="S9" s="16">
        <v>1627.093555555560</v>
      </c>
      <c r="T9" s="13">
        <v>-26.4791111111111</v>
      </c>
      <c r="U9" s="16">
        <v>2651.024017373740</v>
      </c>
      <c r="V9" s="13">
        <v>176.409166666667</v>
      </c>
      <c r="W9" s="13">
        <v>0.619670678091846</v>
      </c>
      <c r="X9" s="13">
        <v>236.007261658864</v>
      </c>
      <c r="Y9" s="13">
        <f>X9-O9</f>
        <v>139.607261658864</v>
      </c>
      <c r="Z9" s="13">
        <f>Y9*4800/SUM(Y3:Y252)</f>
        <v>47.2943019401842</v>
      </c>
      <c r="AA9" s="15"/>
      <c r="AB9" s="15"/>
    </row>
    <row r="10" ht="8.35" customHeight="1" hidden="1">
      <c r="A10" s="11">
        <v>73</v>
      </c>
      <c r="B10" t="s" s="12">
        <v>28</v>
      </c>
      <c r="C10" s="13">
        <v>245.6</v>
      </c>
      <c r="D10" s="13">
        <v>5850</v>
      </c>
      <c r="E10" s="13">
        <v>2022</v>
      </c>
      <c r="F10" t="s" s="14">
        <v>29</v>
      </c>
      <c r="G10" s="13">
        <v>5</v>
      </c>
      <c r="H10" s="13">
        <v>46.8</v>
      </c>
      <c r="I10" t="s" s="14">
        <v>44</v>
      </c>
      <c r="J10" t="s" s="14">
        <v>45</v>
      </c>
      <c r="K10" s="15"/>
      <c r="L10" s="13">
        <v>300.8</v>
      </c>
      <c r="M10" s="13">
        <v>55.2</v>
      </c>
      <c r="N10" s="13">
        <v>213.8</v>
      </c>
      <c r="O10" s="13">
        <v>96.40000000000001</v>
      </c>
      <c r="P10" s="13">
        <v>149.2</v>
      </c>
      <c r="Q10" s="15"/>
      <c r="R10" s="13">
        <v>213.208888888889</v>
      </c>
      <c r="S10" s="16">
        <v>1627.093555555560</v>
      </c>
      <c r="T10" s="13">
        <v>-26.4791111111111</v>
      </c>
      <c r="U10" s="16">
        <v>2651.024017373740</v>
      </c>
      <c r="V10" s="13">
        <v>176.409166666667</v>
      </c>
      <c r="W10" s="13">
        <v>0.619670678091846</v>
      </c>
      <c r="X10" s="13">
        <v>233.280710675259</v>
      </c>
      <c r="Y10" s="13">
        <f>X10-O10</f>
        <v>136.880710675259</v>
      </c>
      <c r="Z10" s="13">
        <f>Y10*4800/SUM(Y3:Y252)</f>
        <v>46.3706370538331</v>
      </c>
      <c r="AA10" s="15"/>
      <c r="AB10" s="15"/>
    </row>
    <row r="11" ht="8.35" customHeight="1" hidden="1">
      <c r="A11" s="11">
        <v>56</v>
      </c>
      <c r="B11" t="s" s="12">
        <v>28</v>
      </c>
      <c r="C11" s="13">
        <v>244.6</v>
      </c>
      <c r="D11" s="13">
        <v>4663</v>
      </c>
      <c r="E11" s="13">
        <v>2022</v>
      </c>
      <c r="F11" t="s" s="14">
        <v>29</v>
      </c>
      <c r="G11" s="13">
        <v>7</v>
      </c>
      <c r="H11" s="13">
        <v>4.5</v>
      </c>
      <c r="I11" t="s" s="14">
        <v>39</v>
      </c>
      <c r="J11" t="s" s="14">
        <v>40</v>
      </c>
      <c r="K11" s="15"/>
      <c r="L11" s="13">
        <v>319.2</v>
      </c>
      <c r="M11" s="13">
        <v>74.59999999999999</v>
      </c>
      <c r="N11" s="13">
        <v>213.8</v>
      </c>
      <c r="O11" s="13">
        <v>96.40000000000001</v>
      </c>
      <c r="P11" s="13">
        <v>148.2</v>
      </c>
      <c r="Q11" s="15"/>
      <c r="R11" s="13">
        <v>213.208888888889</v>
      </c>
      <c r="S11" s="16">
        <v>1627.093555555560</v>
      </c>
      <c r="T11" s="13">
        <v>-26.4791111111111</v>
      </c>
      <c r="U11" s="16">
        <v>2651.024017373740</v>
      </c>
      <c r="V11" s="13">
        <v>176.409166666667</v>
      </c>
      <c r="W11" s="13">
        <v>0.619670678091846</v>
      </c>
      <c r="X11" s="13">
        <v>232.661039997168</v>
      </c>
      <c r="Y11" s="13">
        <f>X11-O11</f>
        <v>136.261039997168</v>
      </c>
      <c r="Z11" s="13">
        <f>Y11*4800/SUM(Y3:Y252)</f>
        <v>46.1607132160264</v>
      </c>
      <c r="AA11" s="15"/>
      <c r="AB11" s="15"/>
    </row>
    <row r="12" ht="20.05" customHeight="1">
      <c r="A12" s="11">
        <v>89</v>
      </c>
      <c r="B12" t="s" s="12">
        <v>46</v>
      </c>
      <c r="C12" s="13">
        <v>288.7</v>
      </c>
      <c r="D12" s="13">
        <v>6794</v>
      </c>
      <c r="E12" s="13">
        <v>2023</v>
      </c>
      <c r="F12" t="s" s="14">
        <v>29</v>
      </c>
      <c r="G12" s="13">
        <v>4</v>
      </c>
      <c r="H12" s="13">
        <v>1.6</v>
      </c>
      <c r="I12" t="s" s="14">
        <v>47</v>
      </c>
      <c r="J12" t="s" s="14">
        <v>48</v>
      </c>
      <c r="K12" t="s" s="14">
        <f>_xlfn.CONCAT(LEFT(I12,1),". ",J12)</f>
        <v>49</v>
      </c>
      <c r="L12" s="13">
        <v>168.2</v>
      </c>
      <c r="M12" s="13">
        <v>-120.5</v>
      </c>
      <c r="N12" s="13">
        <v>183</v>
      </c>
      <c r="O12" s="13">
        <v>121.5</v>
      </c>
      <c r="P12" s="13">
        <v>167.2</v>
      </c>
      <c r="Q12" s="13">
        <f>P12*4800/SUM(P3:P252)</f>
        <v>53.4216594156207</v>
      </c>
      <c r="R12" s="13">
        <v>191.8725</v>
      </c>
      <c r="S12" s="13">
        <v>1211.201165492960</v>
      </c>
      <c r="T12" s="13">
        <v>-15.8213888888889</v>
      </c>
      <c r="U12" s="13">
        <v>2443.102854381850</v>
      </c>
      <c r="V12" s="13">
        <v>176.051111111111</v>
      </c>
      <c r="W12" s="13">
        <v>0.668554898851997</v>
      </c>
      <c r="X12" s="13">
        <v>256.606999468592</v>
      </c>
      <c r="Y12" s="13">
        <f>X12-O12</f>
        <v>135.106999468592</v>
      </c>
      <c r="Z12" s="13">
        <f>Y12*4800/SUM(Y3:Y252)</f>
        <v>45.7697626267723</v>
      </c>
      <c r="AA12" s="15"/>
      <c r="AB12" s="13">
        <f>_xlfn.XLOOKUP(K12,AF256:AF398,AH256:AH398)</f>
        <v>65</v>
      </c>
    </row>
    <row r="13" ht="8.35" customHeight="1" hidden="1">
      <c r="A13" s="11">
        <v>90</v>
      </c>
      <c r="B13" t="s" s="12">
        <v>46</v>
      </c>
      <c r="C13" s="13">
        <v>287.46</v>
      </c>
      <c r="D13" s="13">
        <v>6794</v>
      </c>
      <c r="E13" s="13">
        <v>2022</v>
      </c>
      <c r="F13" t="s" s="14">
        <v>29</v>
      </c>
      <c r="G13" s="13">
        <v>4</v>
      </c>
      <c r="H13" s="13">
        <v>8.199999999999999</v>
      </c>
      <c r="I13" t="s" s="14">
        <v>47</v>
      </c>
      <c r="J13" t="s" s="14">
        <v>48</v>
      </c>
      <c r="K13" s="15"/>
      <c r="L13" s="13">
        <v>304.66</v>
      </c>
      <c r="M13" s="13">
        <v>17.2</v>
      </c>
      <c r="N13" s="13">
        <v>183</v>
      </c>
      <c r="O13" s="13">
        <v>121.5</v>
      </c>
      <c r="P13" s="13">
        <v>165.96</v>
      </c>
      <c r="Q13" s="15"/>
      <c r="R13" s="13">
        <v>191.8725</v>
      </c>
      <c r="S13" s="13">
        <v>1211.201165492960</v>
      </c>
      <c r="T13" s="13">
        <v>-15.8213888888889</v>
      </c>
      <c r="U13" s="13">
        <v>2443.102854381850</v>
      </c>
      <c r="V13" s="13">
        <v>176.051111111111</v>
      </c>
      <c r="W13" s="13">
        <v>0.668554898851997</v>
      </c>
      <c r="X13" s="13">
        <v>255.777991394015</v>
      </c>
      <c r="Y13" s="13">
        <f>X13-O13</f>
        <v>134.277991394015</v>
      </c>
      <c r="Z13" s="13">
        <f>Y13*4800/SUM(Y3:Y252)</f>
        <v>45.488922234059</v>
      </c>
      <c r="AA13" s="15"/>
      <c r="AB13" s="15"/>
    </row>
    <row r="14" ht="8.35" customHeight="1" hidden="1">
      <c r="A14" s="11">
        <v>60</v>
      </c>
      <c r="B14" t="s" s="12">
        <v>28</v>
      </c>
      <c r="C14" s="13">
        <v>240.2</v>
      </c>
      <c r="D14" s="13">
        <v>4035</v>
      </c>
      <c r="E14" s="13">
        <v>2022</v>
      </c>
      <c r="F14" t="s" s="14">
        <v>29</v>
      </c>
      <c r="G14" s="13">
        <v>7</v>
      </c>
      <c r="H14" s="13">
        <v>11</v>
      </c>
      <c r="I14" t="s" s="14">
        <v>50</v>
      </c>
      <c r="J14" t="s" s="14">
        <v>51</v>
      </c>
      <c r="K14" s="15"/>
      <c r="L14" s="13">
        <v>182.2</v>
      </c>
      <c r="M14" s="13">
        <v>-58</v>
      </c>
      <c r="N14" s="13">
        <v>213.8</v>
      </c>
      <c r="O14" s="13">
        <v>96.40000000000001</v>
      </c>
      <c r="P14" s="13">
        <v>143.8</v>
      </c>
      <c r="Q14" s="15"/>
      <c r="R14" s="13">
        <v>213.208888888889</v>
      </c>
      <c r="S14" s="16">
        <v>1627.093555555560</v>
      </c>
      <c r="T14" s="13">
        <v>-26.4791111111111</v>
      </c>
      <c r="U14" s="16">
        <v>2651.024017373740</v>
      </c>
      <c r="V14" s="13">
        <v>176.409166666667</v>
      </c>
      <c r="W14" s="13">
        <v>0.619670678091846</v>
      </c>
      <c r="X14" s="13">
        <v>229.934489013563</v>
      </c>
      <c r="Y14" s="13">
        <f>X14-O14</f>
        <v>133.534489013563</v>
      </c>
      <c r="Z14" s="13">
        <f>Y14*4800/SUM(Y3:Y252)</f>
        <v>45.2370483296753</v>
      </c>
      <c r="AA14" s="15"/>
      <c r="AB14" s="15"/>
    </row>
    <row r="15" ht="8.35" customHeight="1" hidden="1">
      <c r="A15" s="11">
        <v>53</v>
      </c>
      <c r="B15" t="s" s="12">
        <v>28</v>
      </c>
      <c r="C15" s="13">
        <v>237.6</v>
      </c>
      <c r="D15" s="13">
        <v>6813</v>
      </c>
      <c r="E15" s="13">
        <v>2022</v>
      </c>
      <c r="F15" t="s" s="14">
        <v>29</v>
      </c>
      <c r="G15" s="13">
        <v>4</v>
      </c>
      <c r="H15" s="13">
        <v>1.5</v>
      </c>
      <c r="I15" t="s" s="14">
        <v>52</v>
      </c>
      <c r="J15" t="s" s="14">
        <v>53</v>
      </c>
      <c r="K15" s="15"/>
      <c r="L15" s="13">
        <v>132.4</v>
      </c>
      <c r="M15" s="13">
        <v>-105.2</v>
      </c>
      <c r="N15" s="13">
        <v>213.8</v>
      </c>
      <c r="O15" s="13">
        <v>96.40000000000001</v>
      </c>
      <c r="P15" s="13">
        <v>141.2</v>
      </c>
      <c r="Q15" s="15"/>
      <c r="R15" s="13">
        <v>213.208888888889</v>
      </c>
      <c r="S15" s="16">
        <v>1627.093555555560</v>
      </c>
      <c r="T15" s="13">
        <v>-26.4791111111111</v>
      </c>
      <c r="U15" s="16">
        <v>2651.024017373740</v>
      </c>
      <c r="V15" s="13">
        <v>176.409166666667</v>
      </c>
      <c r="W15" s="13">
        <v>0.619670678091846</v>
      </c>
      <c r="X15" s="13">
        <v>228.323345250525</v>
      </c>
      <c r="Y15" s="13">
        <f>X15-O15</f>
        <v>131.923345250525</v>
      </c>
      <c r="Z15" s="13">
        <f>Y15*4800/SUM(Y3:Y252)</f>
        <v>44.6912463513774</v>
      </c>
      <c r="AA15" s="15"/>
      <c r="AB15" s="15"/>
    </row>
    <row r="16" ht="8.35" customHeight="1" hidden="1">
      <c r="A16" s="11">
        <v>57</v>
      </c>
      <c r="B16" t="s" s="12">
        <v>28</v>
      </c>
      <c r="C16" s="13">
        <v>237.6</v>
      </c>
      <c r="D16" s="13">
        <v>4029</v>
      </c>
      <c r="E16" s="13">
        <v>2022</v>
      </c>
      <c r="F16" t="s" s="14">
        <v>29</v>
      </c>
      <c r="G16" s="13">
        <v>7</v>
      </c>
      <c r="H16" s="13">
        <v>5.5</v>
      </c>
      <c r="I16" t="s" s="14">
        <v>54</v>
      </c>
      <c r="J16" t="s" s="14">
        <v>55</v>
      </c>
      <c r="K16" s="15"/>
      <c r="L16" s="13">
        <v>217.3</v>
      </c>
      <c r="M16" s="13">
        <v>-20.3</v>
      </c>
      <c r="N16" s="13">
        <v>213.8</v>
      </c>
      <c r="O16" s="13">
        <v>96.40000000000001</v>
      </c>
      <c r="P16" s="13">
        <v>141.2</v>
      </c>
      <c r="Q16" s="15"/>
      <c r="R16" s="13">
        <v>213.208888888889</v>
      </c>
      <c r="S16" s="16">
        <v>1627.093555555560</v>
      </c>
      <c r="T16" s="13">
        <v>-26.4791111111111</v>
      </c>
      <c r="U16" s="16">
        <v>2651.024017373740</v>
      </c>
      <c r="V16" s="13">
        <v>176.409166666667</v>
      </c>
      <c r="W16" s="13">
        <v>0.619670678091846</v>
      </c>
      <c r="X16" s="13">
        <v>228.323345250525</v>
      </c>
      <c r="Y16" s="13">
        <f>X16-O16</f>
        <v>131.923345250525</v>
      </c>
      <c r="Z16" s="13">
        <f>Y16*4800/SUM(Y3:Y252)</f>
        <v>44.6912463513774</v>
      </c>
      <c r="AA16" s="15"/>
      <c r="AB16" s="15"/>
    </row>
    <row r="17" ht="20.05" customHeight="1">
      <c r="A17" s="11">
        <v>55</v>
      </c>
      <c r="B17" t="s" s="12">
        <v>28</v>
      </c>
      <c r="C17" s="13">
        <v>237.2</v>
      </c>
      <c r="D17" s="13">
        <v>9509</v>
      </c>
      <c r="E17" s="13">
        <v>2023</v>
      </c>
      <c r="F17" t="s" s="14">
        <v>29</v>
      </c>
      <c r="G17" s="13">
        <v>1</v>
      </c>
      <c r="H17" s="13">
        <v>7.8</v>
      </c>
      <c r="I17" t="s" s="14">
        <v>56</v>
      </c>
      <c r="J17" t="s" s="14">
        <v>57</v>
      </c>
      <c r="K17" t="s" s="14">
        <f>_xlfn.CONCAT(LEFT(I17,1),". ",J17)</f>
        <v>58</v>
      </c>
      <c r="L17" s="13">
        <v>217.3</v>
      </c>
      <c r="M17" s="13">
        <v>-19.9</v>
      </c>
      <c r="N17" s="13">
        <v>213.8</v>
      </c>
      <c r="O17" s="13">
        <v>96.40000000000001</v>
      </c>
      <c r="P17" s="13">
        <v>140.8</v>
      </c>
      <c r="Q17" s="13">
        <f>P17*4800/SUM(P3:P252)</f>
        <v>44.9866605605227</v>
      </c>
      <c r="R17" s="13">
        <v>213.208888888889</v>
      </c>
      <c r="S17" s="16">
        <v>1627.093555555560</v>
      </c>
      <c r="T17" s="13">
        <v>-26.4791111111111</v>
      </c>
      <c r="U17" s="16">
        <v>2651.024017373740</v>
      </c>
      <c r="V17" s="13">
        <v>176.409166666667</v>
      </c>
      <c r="W17" s="13">
        <v>0.619670678091846</v>
      </c>
      <c r="X17" s="13">
        <v>228.075476979288</v>
      </c>
      <c r="Y17" s="13">
        <f>X17-O17</f>
        <v>131.675476979288</v>
      </c>
      <c r="Z17" s="13">
        <f>Y17*4800/SUM(Y3:Y252)</f>
        <v>44.6072768162545</v>
      </c>
      <c r="AA17" s="15"/>
      <c r="AB17" s="13">
        <f>_xlfn.XLOOKUP(K17,AF256:AF398,AH256:AH398)</f>
        <v>50</v>
      </c>
    </row>
    <row r="18" ht="8.35" customHeight="1" hidden="1">
      <c r="A18" s="11">
        <v>66</v>
      </c>
      <c r="B18" t="s" s="12">
        <v>28</v>
      </c>
      <c r="C18" s="13">
        <v>236.1</v>
      </c>
      <c r="D18" s="13">
        <v>3969</v>
      </c>
      <c r="E18" s="13">
        <v>2022</v>
      </c>
      <c r="F18" t="s" s="14">
        <v>29</v>
      </c>
      <c r="G18" s="13">
        <v>7</v>
      </c>
      <c r="H18" s="13">
        <v>24.9</v>
      </c>
      <c r="I18" t="s" s="14">
        <v>59</v>
      </c>
      <c r="J18" t="s" s="14">
        <v>60</v>
      </c>
      <c r="K18" s="15"/>
      <c r="L18" s="13">
        <v>190.6</v>
      </c>
      <c r="M18" s="13">
        <v>-45.5</v>
      </c>
      <c r="N18" s="13">
        <v>213.8</v>
      </c>
      <c r="O18" s="13">
        <v>96.40000000000001</v>
      </c>
      <c r="P18" s="13">
        <v>139.7</v>
      </c>
      <c r="Q18" s="15"/>
      <c r="R18" s="13">
        <v>213.208888888889</v>
      </c>
      <c r="S18" s="16">
        <v>1627.093555555560</v>
      </c>
      <c r="T18" s="13">
        <v>-26.4791111111111</v>
      </c>
      <c r="U18" s="16">
        <v>2651.024017373740</v>
      </c>
      <c r="V18" s="13">
        <v>176.409166666667</v>
      </c>
      <c r="W18" s="13">
        <v>0.619670678091846</v>
      </c>
      <c r="X18" s="13">
        <v>227.393839233387</v>
      </c>
      <c r="Y18" s="13">
        <f>X18-O18</f>
        <v>130.993839233387</v>
      </c>
      <c r="Z18" s="13">
        <f>Y18*4800/SUM(Y3:Y252)</f>
        <v>44.3763605946668</v>
      </c>
      <c r="AA18" s="15"/>
      <c r="AB18" s="15"/>
    </row>
    <row r="19" ht="8.35" customHeight="1" hidden="1">
      <c r="A19" s="11">
        <v>89</v>
      </c>
      <c r="B19" t="s" s="12">
        <v>46</v>
      </c>
      <c r="C19" s="13">
        <v>280.8</v>
      </c>
      <c r="D19" s="13">
        <v>4039</v>
      </c>
      <c r="E19" s="13">
        <v>2022</v>
      </c>
      <c r="F19" t="s" s="14">
        <v>29</v>
      </c>
      <c r="G19" s="13">
        <v>7</v>
      </c>
      <c r="H19" s="13">
        <v>6.4</v>
      </c>
      <c r="I19" t="s" s="14">
        <v>61</v>
      </c>
      <c r="J19" t="s" s="14">
        <v>62</v>
      </c>
      <c r="K19" s="15"/>
      <c r="L19" s="13">
        <v>162.9</v>
      </c>
      <c r="M19" s="13">
        <v>-117.9</v>
      </c>
      <c r="N19" s="13">
        <v>183</v>
      </c>
      <c r="O19" s="13">
        <v>121.5</v>
      </c>
      <c r="P19" s="13">
        <v>159.3</v>
      </c>
      <c r="Q19" s="15"/>
      <c r="R19" s="13">
        <v>191.8725</v>
      </c>
      <c r="S19" s="13">
        <v>1211.201165492960</v>
      </c>
      <c r="T19" s="13">
        <v>-15.8213888888889</v>
      </c>
      <c r="U19" s="13">
        <v>2443.102854381850</v>
      </c>
      <c r="V19" s="13">
        <v>176.051111111111</v>
      </c>
      <c r="W19" s="13">
        <v>0.668554898851997</v>
      </c>
      <c r="X19" s="13">
        <v>251.325415767661</v>
      </c>
      <c r="Y19" s="13">
        <f>X19-O19</f>
        <v>129.825415767661</v>
      </c>
      <c r="Z19" s="13">
        <f>Y19*4800/SUM(Y3:Y252)</f>
        <v>43.9805375441648</v>
      </c>
      <c r="AA19" s="15"/>
      <c r="AB19" s="15"/>
    </row>
    <row r="20" ht="8.35" customHeight="1" hidden="1">
      <c r="A20" s="11">
        <v>64</v>
      </c>
      <c r="B20" t="s" s="12">
        <v>28</v>
      </c>
      <c r="C20" s="13">
        <v>230.4</v>
      </c>
      <c r="D20" s="13">
        <v>4199</v>
      </c>
      <c r="E20" s="13">
        <v>2022</v>
      </c>
      <c r="F20" t="s" s="14">
        <v>29</v>
      </c>
      <c r="G20" s="13">
        <v>7</v>
      </c>
      <c r="H20" s="13">
        <v>18</v>
      </c>
      <c r="I20" t="s" s="14">
        <v>63</v>
      </c>
      <c r="J20" t="s" s="14">
        <v>64</v>
      </c>
      <c r="K20" s="15"/>
      <c r="L20" s="13">
        <v>218.1</v>
      </c>
      <c r="M20" s="13">
        <v>-12.3</v>
      </c>
      <c r="N20" s="13">
        <v>213.8</v>
      </c>
      <c r="O20" s="13">
        <v>96.40000000000001</v>
      </c>
      <c r="P20" s="13">
        <v>134</v>
      </c>
      <c r="Q20" s="15"/>
      <c r="R20" s="13">
        <v>213.208888888889</v>
      </c>
      <c r="S20" s="16">
        <v>1627.093555555560</v>
      </c>
      <c r="T20" s="13">
        <v>-26.4791111111111</v>
      </c>
      <c r="U20" s="16">
        <v>2651.024017373740</v>
      </c>
      <c r="V20" s="13">
        <v>176.409166666667</v>
      </c>
      <c r="W20" s="13">
        <v>0.619670678091846</v>
      </c>
      <c r="X20" s="13">
        <v>223.861716368263</v>
      </c>
      <c r="Y20" s="13">
        <f>X20-O20</f>
        <v>127.461716368263</v>
      </c>
      <c r="Z20" s="13">
        <f>Y20*4800/SUM(Y3:Y252)</f>
        <v>43.1797947191667</v>
      </c>
      <c r="AA20" s="15"/>
      <c r="AB20" s="15"/>
    </row>
    <row r="21" ht="20.05" customHeight="1">
      <c r="A21" s="11">
        <v>58</v>
      </c>
      <c r="B21" t="s" s="12">
        <v>28</v>
      </c>
      <c r="C21" s="13">
        <v>230.4</v>
      </c>
      <c r="D21" s="13">
        <v>3198</v>
      </c>
      <c r="E21" s="13">
        <v>2023</v>
      </c>
      <c r="F21" t="s" s="14">
        <v>29</v>
      </c>
      <c r="G21" s="13">
        <v>8</v>
      </c>
      <c r="H21" s="13">
        <v>13.7</v>
      </c>
      <c r="I21" t="s" s="14">
        <v>37</v>
      </c>
      <c r="J21" t="s" s="14">
        <v>38</v>
      </c>
      <c r="K21" t="s" s="14">
        <f>_xlfn.CONCAT(LEFT(I21,1),". ",J21)</f>
        <v>65</v>
      </c>
      <c r="L21" s="13">
        <v>232.66</v>
      </c>
      <c r="M21" s="13">
        <v>2.25999999999999</v>
      </c>
      <c r="N21" s="13">
        <v>213.8</v>
      </c>
      <c r="O21" s="13">
        <v>96.40000000000001</v>
      </c>
      <c r="P21" s="13">
        <v>134</v>
      </c>
      <c r="Q21" s="13">
        <f>P21*4800/SUM(P3:P252)</f>
        <v>42.8140093402702</v>
      </c>
      <c r="R21" s="13">
        <v>213.208888888889</v>
      </c>
      <c r="S21" s="16">
        <v>1627.093555555560</v>
      </c>
      <c r="T21" s="13">
        <v>-26.4791111111111</v>
      </c>
      <c r="U21" s="16">
        <v>2651.024017373740</v>
      </c>
      <c r="V21" s="13">
        <v>176.409166666667</v>
      </c>
      <c r="W21" s="13">
        <v>0.619670678091846</v>
      </c>
      <c r="X21" s="13">
        <v>223.861716368263</v>
      </c>
      <c r="Y21" s="13">
        <f>X21-O21</f>
        <v>127.461716368263</v>
      </c>
      <c r="Z21" s="13">
        <f>Y21*4800/SUM(Y3:Y252)</f>
        <v>43.1797947191667</v>
      </c>
      <c r="AA21" s="15"/>
      <c r="AB21" s="13">
        <f>_xlfn.XLOOKUP(K21,AF256:AF398,AH256:AH398)</f>
        <v>50</v>
      </c>
    </row>
    <row r="22" ht="20.05" customHeight="1">
      <c r="A22" s="11">
        <v>56</v>
      </c>
      <c r="B22" t="s" s="12">
        <v>28</v>
      </c>
      <c r="C22" s="13">
        <v>228.5</v>
      </c>
      <c r="D22" s="13">
        <v>4866</v>
      </c>
      <c r="E22" s="13">
        <v>2023</v>
      </c>
      <c r="F22" t="s" s="14">
        <v>29</v>
      </c>
      <c r="G22" s="13">
        <v>6</v>
      </c>
      <c r="H22" s="13">
        <v>9</v>
      </c>
      <c r="I22" t="s" s="14">
        <v>33</v>
      </c>
      <c r="J22" t="s" s="14">
        <v>34</v>
      </c>
      <c r="K22" t="s" s="14">
        <f>_xlfn.CONCAT(LEFT(I22,1),". ",J22)</f>
        <v>66</v>
      </c>
      <c r="L22" s="13">
        <v>202.7</v>
      </c>
      <c r="M22" s="13">
        <v>-25.8</v>
      </c>
      <c r="N22" s="13">
        <v>213.8</v>
      </c>
      <c r="O22" s="13">
        <v>96.40000000000001</v>
      </c>
      <c r="P22" s="13">
        <v>132.1</v>
      </c>
      <c r="Q22" s="13">
        <f>P22*4800/SUM(P3:P252)</f>
        <v>42.2069450287291</v>
      </c>
      <c r="R22" s="13">
        <v>213.208888888889</v>
      </c>
      <c r="S22" s="16">
        <v>1627.093555555560</v>
      </c>
      <c r="T22" s="13">
        <v>-26.4791111111111</v>
      </c>
      <c r="U22" s="16">
        <v>2651.024017373740</v>
      </c>
      <c r="V22" s="13">
        <v>176.409166666667</v>
      </c>
      <c r="W22" s="13">
        <v>0.619670678091846</v>
      </c>
      <c r="X22" s="13">
        <v>222.684342079889</v>
      </c>
      <c r="Y22" s="13">
        <f>X22-O22</f>
        <v>126.284342079889</v>
      </c>
      <c r="Z22" s="13">
        <f>Y22*4800/SUM(Y3:Y252)</f>
        <v>42.7809394273336</v>
      </c>
      <c r="AA22" s="15"/>
      <c r="AB22" s="13">
        <f>_xlfn.XLOOKUP(K22,AF256:AF398,AH256:AH398)</f>
        <v>50</v>
      </c>
    </row>
    <row r="23" ht="8.35" customHeight="1" hidden="1">
      <c r="A23" s="11">
        <v>61</v>
      </c>
      <c r="B23" t="s" s="12">
        <v>28</v>
      </c>
      <c r="C23" s="13">
        <v>228.3</v>
      </c>
      <c r="D23" s="13">
        <v>6790</v>
      </c>
      <c r="E23" s="13">
        <v>2022</v>
      </c>
      <c r="F23" t="s" s="14">
        <v>29</v>
      </c>
      <c r="G23" s="13">
        <v>4</v>
      </c>
      <c r="H23" s="13">
        <v>13</v>
      </c>
      <c r="I23" t="s" s="14">
        <v>67</v>
      </c>
      <c r="J23" t="s" s="14">
        <v>68</v>
      </c>
      <c r="K23" s="15"/>
      <c r="L23" s="13">
        <v>167.1</v>
      </c>
      <c r="M23" s="13">
        <v>-61.2</v>
      </c>
      <c r="N23" s="13">
        <v>213.8</v>
      </c>
      <c r="O23" s="13">
        <v>96.40000000000001</v>
      </c>
      <c r="P23" s="13">
        <v>131.9</v>
      </c>
      <c r="Q23" s="15"/>
      <c r="R23" s="13">
        <v>213.208888888889</v>
      </c>
      <c r="S23" s="16">
        <v>1627.093555555560</v>
      </c>
      <c r="T23" s="13">
        <v>-26.4791111111111</v>
      </c>
      <c r="U23" s="16">
        <v>2651.024017373740</v>
      </c>
      <c r="V23" s="13">
        <v>176.409166666667</v>
      </c>
      <c r="W23" s="13">
        <v>0.619670678091846</v>
      </c>
      <c r="X23" s="13">
        <v>222.560407944270</v>
      </c>
      <c r="Y23" s="13">
        <f>X23-O23</f>
        <v>126.160407944270</v>
      </c>
      <c r="Z23" s="13">
        <f>Y23*4800/SUM(Y3:Y252)</f>
        <v>42.738954659772</v>
      </c>
      <c r="AA23" s="15"/>
      <c r="AB23" s="15"/>
    </row>
    <row r="24" ht="8.35" customHeight="1" hidden="1">
      <c r="A24" s="11">
        <v>58</v>
      </c>
      <c r="B24" t="s" s="12">
        <v>28</v>
      </c>
      <c r="C24" s="13">
        <v>227.8</v>
      </c>
      <c r="D24" s="13">
        <v>7528</v>
      </c>
      <c r="E24" s="13">
        <v>2022</v>
      </c>
      <c r="F24" t="s" s="14">
        <v>29</v>
      </c>
      <c r="G24" s="13">
        <v>3</v>
      </c>
      <c r="H24" s="13">
        <v>6.9</v>
      </c>
      <c r="I24" t="s" s="14">
        <v>69</v>
      </c>
      <c r="J24" t="s" s="14">
        <v>70</v>
      </c>
      <c r="K24" s="15"/>
      <c r="L24" s="13">
        <v>202.36</v>
      </c>
      <c r="M24" s="13">
        <v>-25.44</v>
      </c>
      <c r="N24" s="13">
        <v>213.8</v>
      </c>
      <c r="O24" s="13">
        <v>96.40000000000001</v>
      </c>
      <c r="P24" s="13">
        <v>131.4</v>
      </c>
      <c r="Q24" s="15"/>
      <c r="R24" s="13">
        <v>213.208888888889</v>
      </c>
      <c r="S24" s="16">
        <v>1627.093555555560</v>
      </c>
      <c r="T24" s="13">
        <v>-26.4791111111111</v>
      </c>
      <c r="U24" s="16">
        <v>2651.024017373740</v>
      </c>
      <c r="V24" s="13">
        <v>176.409166666667</v>
      </c>
      <c r="W24" s="13">
        <v>0.619670678091846</v>
      </c>
      <c r="X24" s="13">
        <v>222.250572605225</v>
      </c>
      <c r="Y24" s="13">
        <f>X24-O24</f>
        <v>125.850572605225</v>
      </c>
      <c r="Z24" s="13">
        <f>Y24*4800/SUM(Y3:Y252)</f>
        <v>42.6339927408688</v>
      </c>
      <c r="AA24" s="15"/>
      <c r="AB24" s="15"/>
    </row>
    <row r="25" ht="20.05" customHeight="1">
      <c r="A25" s="11">
        <v>59</v>
      </c>
      <c r="B25" t="s" s="12">
        <v>28</v>
      </c>
      <c r="C25" s="13">
        <v>221.5</v>
      </c>
      <c r="D25" s="13">
        <v>5850</v>
      </c>
      <c r="E25" s="13">
        <v>2023</v>
      </c>
      <c r="F25" t="s" s="14">
        <v>29</v>
      </c>
      <c r="G25" s="13">
        <v>5</v>
      </c>
      <c r="H25" s="13">
        <v>17.6</v>
      </c>
      <c r="I25" t="s" s="14">
        <v>44</v>
      </c>
      <c r="J25" t="s" s="14">
        <v>45</v>
      </c>
      <c r="K25" t="s" s="14">
        <f>_xlfn.CONCAT(LEFT(I25,1),". ",J25)</f>
        <v>71</v>
      </c>
      <c r="L25" s="13">
        <v>162.6</v>
      </c>
      <c r="M25" s="13">
        <v>-58.9</v>
      </c>
      <c r="N25" s="13">
        <v>213.8</v>
      </c>
      <c r="O25" s="13">
        <v>96.40000000000001</v>
      </c>
      <c r="P25" s="13">
        <v>125.1</v>
      </c>
      <c r="Q25" s="13">
        <f>P25*4800/SUM(P3:P252)</f>
        <v>39.9703923019985</v>
      </c>
      <c r="R25" s="13">
        <v>213.208888888889</v>
      </c>
      <c r="S25" s="16">
        <v>1627.093555555560</v>
      </c>
      <c r="T25" s="13">
        <v>-26.4791111111111</v>
      </c>
      <c r="U25" s="16">
        <v>2651.024017373740</v>
      </c>
      <c r="V25" s="13">
        <v>176.409166666667</v>
      </c>
      <c r="W25" s="13">
        <v>0.619670678091846</v>
      </c>
      <c r="X25" s="13">
        <v>218.346647333246</v>
      </c>
      <c r="Y25" s="13">
        <f>X25-O25</f>
        <v>121.946647333246</v>
      </c>
      <c r="Z25" s="13">
        <f>Y25*4800/SUM(Y3:Y252)</f>
        <v>41.3114725626846</v>
      </c>
      <c r="AA25" s="15"/>
      <c r="AB25" s="13">
        <f>_xlfn.XLOOKUP(K25,AF256:AF398,AH256:AH398)</f>
        <v>41</v>
      </c>
    </row>
    <row r="26" ht="20.05" customHeight="1">
      <c r="A26" s="11">
        <v>90</v>
      </c>
      <c r="B26" t="s" s="12">
        <v>46</v>
      </c>
      <c r="C26" s="13">
        <v>267</v>
      </c>
      <c r="D26" s="13">
        <v>7564</v>
      </c>
      <c r="E26" s="13">
        <v>2023</v>
      </c>
      <c r="F26" t="s" s="14">
        <v>29</v>
      </c>
      <c r="G26" s="13">
        <v>3</v>
      </c>
      <c r="H26" s="13">
        <v>3.4</v>
      </c>
      <c r="I26" t="s" s="14">
        <v>72</v>
      </c>
      <c r="J26" t="s" s="14">
        <v>73</v>
      </c>
      <c r="K26" t="s" s="14">
        <f>_xlfn.CONCAT(LEFT(I26,1),". ",J26)</f>
        <v>74</v>
      </c>
      <c r="L26" s="13">
        <v>212.72</v>
      </c>
      <c r="M26" s="13">
        <v>-54.28</v>
      </c>
      <c r="N26" s="13">
        <v>183</v>
      </c>
      <c r="O26" s="13">
        <v>121.5</v>
      </c>
      <c r="P26" s="13">
        <v>145.5</v>
      </c>
      <c r="Q26" s="13">
        <f>P26*4800/SUM(P3:P252)</f>
        <v>46.4883459627561</v>
      </c>
      <c r="R26" s="13">
        <v>191.8725</v>
      </c>
      <c r="S26" s="13">
        <v>1211.201165492960</v>
      </c>
      <c r="T26" s="13">
        <v>-15.8213888888889</v>
      </c>
      <c r="U26" s="13">
        <v>2443.102854381850</v>
      </c>
      <c r="V26" s="13">
        <v>176.051111111111</v>
      </c>
      <c r="W26" s="13">
        <v>0.668554898851997</v>
      </c>
      <c r="X26" s="13">
        <v>242.099358163503</v>
      </c>
      <c r="Y26" s="13">
        <f>X26-O26</f>
        <v>120.599358163503</v>
      </c>
      <c r="Z26" s="13">
        <f>Y26*4800/SUM(Y3:Y252)</f>
        <v>40.8550557542935</v>
      </c>
      <c r="AA26" s="15"/>
      <c r="AB26" s="13">
        <f>_xlfn.XLOOKUP(K26,AF256:AF398,AH256:AH398)</f>
        <v>56</v>
      </c>
    </row>
    <row r="27" ht="8.35" customHeight="1" hidden="1">
      <c r="A27" s="11">
        <v>41</v>
      </c>
      <c r="B27" t="s" s="12">
        <v>75</v>
      </c>
      <c r="C27" s="13">
        <v>385.7</v>
      </c>
      <c r="D27" s="13">
        <v>4984</v>
      </c>
      <c r="E27" s="13">
        <v>2022</v>
      </c>
      <c r="F27" t="s" s="14">
        <v>29</v>
      </c>
      <c r="G27" s="13">
        <v>6</v>
      </c>
      <c r="H27" s="13">
        <v>22.1</v>
      </c>
      <c r="I27" t="s" s="14">
        <v>44</v>
      </c>
      <c r="J27" t="s" s="14">
        <v>76</v>
      </c>
      <c r="K27" s="15"/>
      <c r="L27" s="13">
        <v>409.24</v>
      </c>
      <c r="M27" s="13">
        <v>23.54</v>
      </c>
      <c r="N27" s="13">
        <v>332.28</v>
      </c>
      <c r="O27" s="13">
        <v>253.94</v>
      </c>
      <c r="P27" s="13">
        <v>131.76</v>
      </c>
      <c r="Q27" s="15"/>
      <c r="R27" s="13">
        <v>331.717272727273</v>
      </c>
      <c r="S27" s="13">
        <v>1529.024316017320</v>
      </c>
      <c r="T27" s="13">
        <v>-42.8909090909091</v>
      </c>
      <c r="U27" s="16">
        <v>5503.577170562770</v>
      </c>
      <c r="V27" s="13">
        <v>276.810434782609</v>
      </c>
      <c r="W27" s="13">
        <v>0.782580554445596</v>
      </c>
      <c r="X27" s="13">
        <v>373.963105366849</v>
      </c>
      <c r="Y27" s="13">
        <f>X27-O27</f>
        <v>120.023105366849</v>
      </c>
      <c r="Z27" s="13">
        <f>Y27*4800/SUM(Y3:Y252)</f>
        <v>40.6598404522025</v>
      </c>
      <c r="AA27" s="15"/>
      <c r="AB27" s="15"/>
    </row>
    <row r="28" ht="20.05" customHeight="1">
      <c r="A28" s="11">
        <v>62</v>
      </c>
      <c r="B28" t="s" s="12">
        <v>28</v>
      </c>
      <c r="C28" s="13">
        <v>217.1</v>
      </c>
      <c r="D28" s="13">
        <v>7543</v>
      </c>
      <c r="E28" s="13">
        <v>2023</v>
      </c>
      <c r="F28" t="s" s="14">
        <v>29</v>
      </c>
      <c r="G28" s="13">
        <v>3</v>
      </c>
      <c r="H28" s="13">
        <v>29.4</v>
      </c>
      <c r="I28" t="s" s="14">
        <v>77</v>
      </c>
      <c r="J28" t="s" s="14">
        <v>78</v>
      </c>
      <c r="K28" t="s" s="14">
        <f>_xlfn.CONCAT(LEFT(I28,1),". ",J28)</f>
        <v>79</v>
      </c>
      <c r="L28" s="13">
        <v>253.4</v>
      </c>
      <c r="M28" s="13">
        <v>36.3</v>
      </c>
      <c r="N28" s="13">
        <v>213.8</v>
      </c>
      <c r="O28" s="13">
        <v>96.40000000000001</v>
      </c>
      <c r="P28" s="13">
        <v>120.7</v>
      </c>
      <c r="Q28" s="13">
        <f>P28*4800/SUM(P3:P252)</f>
        <v>38.5645591594822</v>
      </c>
      <c r="R28" s="13">
        <v>213.208888888889</v>
      </c>
      <c r="S28" s="16">
        <v>1627.093555555560</v>
      </c>
      <c r="T28" s="13">
        <v>-26.4791111111111</v>
      </c>
      <c r="U28" s="16">
        <v>2651.024017373740</v>
      </c>
      <c r="V28" s="13">
        <v>176.409166666667</v>
      </c>
      <c r="W28" s="13">
        <v>0.619670678091846</v>
      </c>
      <c r="X28" s="13">
        <v>215.620096349642</v>
      </c>
      <c r="Y28" s="13">
        <f>X28-O28</f>
        <v>119.220096349642</v>
      </c>
      <c r="Z28" s="13">
        <f>Y28*4800/SUM(Y3:Y252)</f>
        <v>40.3878076763339</v>
      </c>
      <c r="AA28" s="15"/>
      <c r="AB28" s="13">
        <f>_xlfn.XLOOKUP(K28,AF256:AF398,AH256:AH398)</f>
        <v>36</v>
      </c>
    </row>
    <row r="29" ht="8.35" customHeight="1" hidden="1">
      <c r="A29" s="11">
        <v>72</v>
      </c>
      <c r="B29" t="s" s="12">
        <v>28</v>
      </c>
      <c r="C29" s="13">
        <v>215.2</v>
      </c>
      <c r="D29" s="13">
        <v>8155</v>
      </c>
      <c r="E29" s="13">
        <v>2022</v>
      </c>
      <c r="F29" t="s" s="14">
        <v>29</v>
      </c>
      <c r="G29" s="13">
        <v>2</v>
      </c>
      <c r="H29" s="13">
        <v>41.7</v>
      </c>
      <c r="I29" t="s" s="14">
        <v>80</v>
      </c>
      <c r="J29" t="s" s="14">
        <v>81</v>
      </c>
      <c r="K29" s="15"/>
      <c r="L29" s="13">
        <v>104.6</v>
      </c>
      <c r="M29" s="13">
        <v>-110.6</v>
      </c>
      <c r="N29" s="13">
        <v>213.8</v>
      </c>
      <c r="O29" s="13">
        <v>96.40000000000001</v>
      </c>
      <c r="P29" s="13">
        <v>118.8</v>
      </c>
      <c r="Q29" s="15"/>
      <c r="R29" s="13">
        <v>213.208888888889</v>
      </c>
      <c r="S29" s="16">
        <v>1627.093555555560</v>
      </c>
      <c r="T29" s="13">
        <v>-26.4791111111111</v>
      </c>
      <c r="U29" s="16">
        <v>2651.024017373740</v>
      </c>
      <c r="V29" s="13">
        <v>176.409166666667</v>
      </c>
      <c r="W29" s="13">
        <v>0.619670678091846</v>
      </c>
      <c r="X29" s="13">
        <v>214.442722061267</v>
      </c>
      <c r="Y29" s="13">
        <f>X29-O29</f>
        <v>118.042722061267</v>
      </c>
      <c r="Z29" s="13">
        <f>Y29*4800/SUM(Y3:Y252)</f>
        <v>39.9889523845004</v>
      </c>
      <c r="AA29" s="15"/>
      <c r="AB29" s="15"/>
    </row>
    <row r="30" ht="8.35" customHeight="1" hidden="1">
      <c r="A30" s="11">
        <v>74</v>
      </c>
      <c r="B30" t="s" s="12">
        <v>28</v>
      </c>
      <c r="C30" s="13">
        <v>213.8</v>
      </c>
      <c r="D30" s="13">
        <v>6806</v>
      </c>
      <c r="E30" s="13">
        <v>2022</v>
      </c>
      <c r="F30" t="s" s="14">
        <v>29</v>
      </c>
      <c r="G30" s="13">
        <v>4</v>
      </c>
      <c r="H30" s="13">
        <v>53</v>
      </c>
      <c r="I30" t="s" s="14">
        <v>82</v>
      </c>
      <c r="J30" t="s" s="14">
        <v>83</v>
      </c>
      <c r="K30" s="15"/>
      <c r="L30" s="13">
        <v>77.7</v>
      </c>
      <c r="M30" s="13">
        <v>-136.1</v>
      </c>
      <c r="N30" s="13">
        <v>213.8</v>
      </c>
      <c r="O30" s="13">
        <v>96.40000000000001</v>
      </c>
      <c r="P30" s="13">
        <v>117.4</v>
      </c>
      <c r="Q30" s="15"/>
      <c r="R30" s="13">
        <v>213.208888888889</v>
      </c>
      <c r="S30" s="16">
        <v>1627.093555555560</v>
      </c>
      <c r="T30" s="13">
        <v>-26.4791111111111</v>
      </c>
      <c r="U30" s="16">
        <v>2651.024017373740</v>
      </c>
      <c r="V30" s="13">
        <v>176.409166666667</v>
      </c>
      <c r="W30" s="13">
        <v>0.619670678091846</v>
      </c>
      <c r="X30" s="13">
        <v>213.575183111939</v>
      </c>
      <c r="Y30" s="13">
        <f>X30-O30</f>
        <v>117.175183111939</v>
      </c>
      <c r="Z30" s="13">
        <f>Y30*4800/SUM(Y3:Y252)</f>
        <v>39.6950590115708</v>
      </c>
      <c r="AA30" s="15"/>
      <c r="AB30" s="15"/>
    </row>
    <row r="31" ht="20.05" customHeight="1">
      <c r="A31" s="11">
        <v>60</v>
      </c>
      <c r="B31" t="s" s="12">
        <v>28</v>
      </c>
      <c r="C31" s="13">
        <v>212.9</v>
      </c>
      <c r="D31" s="13">
        <v>5967</v>
      </c>
      <c r="E31" s="13">
        <v>2023</v>
      </c>
      <c r="F31" t="s" s="14">
        <v>29</v>
      </c>
      <c r="G31" s="13">
        <v>5</v>
      </c>
      <c r="H31" s="13">
        <v>19.6</v>
      </c>
      <c r="I31" t="s" s="14">
        <v>84</v>
      </c>
      <c r="J31" t="s" s="14">
        <v>85</v>
      </c>
      <c r="K31" t="s" s="14">
        <f>_xlfn.CONCAT(LEFT(I31,1),". ",J31)</f>
        <v>86</v>
      </c>
      <c r="L31" s="13">
        <v>195.1</v>
      </c>
      <c r="M31" s="13">
        <v>-17.8</v>
      </c>
      <c r="N31" s="13">
        <v>213.8</v>
      </c>
      <c r="O31" s="13">
        <v>96.40000000000001</v>
      </c>
      <c r="P31" s="13">
        <v>116.5</v>
      </c>
      <c r="Q31" s="13">
        <f>P31*4800/SUM(P3:P252)</f>
        <v>37.2226275234439</v>
      </c>
      <c r="R31" s="13">
        <v>213.208888888889</v>
      </c>
      <c r="S31" s="16">
        <v>1627.093555555560</v>
      </c>
      <c r="T31" s="13">
        <v>-26.4791111111111</v>
      </c>
      <c r="U31" s="16">
        <v>2651.024017373740</v>
      </c>
      <c r="V31" s="13">
        <v>176.409166666667</v>
      </c>
      <c r="W31" s="13">
        <v>0.619670678091846</v>
      </c>
      <c r="X31" s="13">
        <v>213.017479501656</v>
      </c>
      <c r="Y31" s="13">
        <f>X31-O31</f>
        <v>116.617479501656</v>
      </c>
      <c r="Z31" s="13">
        <f>Y31*4800/SUM(Y3:Y252)</f>
        <v>39.5061275575444</v>
      </c>
      <c r="AA31" t="s" s="14">
        <v>87</v>
      </c>
      <c r="AB31" s="13">
        <f>_xlfn.XLOOKUP(K31,AF256:AF398,AH256:AH398)</f>
        <v>50</v>
      </c>
    </row>
    <row r="32" ht="8.35" customHeight="1" hidden="1">
      <c r="A32" s="11">
        <v>67</v>
      </c>
      <c r="B32" t="s" s="12">
        <v>28</v>
      </c>
      <c r="C32" s="13">
        <v>209.9</v>
      </c>
      <c r="D32" s="13">
        <v>3164</v>
      </c>
      <c r="E32" s="13">
        <v>2022</v>
      </c>
      <c r="F32" t="s" s="14">
        <v>29</v>
      </c>
      <c r="G32" s="13">
        <v>8</v>
      </c>
      <c r="H32" s="13">
        <v>27.5</v>
      </c>
      <c r="I32" t="s" s="14">
        <v>88</v>
      </c>
      <c r="J32" t="s" s="14">
        <v>89</v>
      </c>
      <c r="K32" s="15"/>
      <c r="L32" s="13">
        <v>177.3</v>
      </c>
      <c r="M32" s="13">
        <v>-32.6</v>
      </c>
      <c r="N32" s="13">
        <v>213.8</v>
      </c>
      <c r="O32" s="13">
        <v>96.40000000000001</v>
      </c>
      <c r="P32" s="13">
        <v>113.5</v>
      </c>
      <c r="Q32" s="15"/>
      <c r="R32" s="13">
        <v>213.208888888889</v>
      </c>
      <c r="S32" s="16">
        <v>1627.093555555560</v>
      </c>
      <c r="T32" s="13">
        <v>-26.4791111111111</v>
      </c>
      <c r="U32" s="16">
        <v>2651.024017373740</v>
      </c>
      <c r="V32" s="13">
        <v>176.409166666667</v>
      </c>
      <c r="W32" s="13">
        <v>0.619670678091846</v>
      </c>
      <c r="X32" s="13">
        <v>211.158467467381</v>
      </c>
      <c r="Y32" s="13">
        <f>X32-O32</f>
        <v>114.758467467381</v>
      </c>
      <c r="Z32" s="13">
        <f>Y32*4800/SUM(Y3:Y252)</f>
        <v>38.8763560441236</v>
      </c>
      <c r="AA32" s="15"/>
      <c r="AB32" s="15"/>
    </row>
    <row r="33" ht="8.35" customHeight="1" hidden="1">
      <c r="A33" s="11">
        <v>44</v>
      </c>
      <c r="B33" t="s" s="12">
        <v>75</v>
      </c>
      <c r="C33" s="13">
        <v>378.82</v>
      </c>
      <c r="D33" s="13">
        <v>4881</v>
      </c>
      <c r="E33" s="13">
        <v>2022</v>
      </c>
      <c r="F33" t="s" s="14">
        <v>29</v>
      </c>
      <c r="G33" s="13">
        <v>6</v>
      </c>
      <c r="H33" s="13">
        <v>45.3</v>
      </c>
      <c r="I33" t="s" s="14">
        <v>90</v>
      </c>
      <c r="J33" t="s" s="14">
        <v>91</v>
      </c>
      <c r="K33" s="15"/>
      <c r="L33" s="13">
        <v>242.08</v>
      </c>
      <c r="M33" s="13">
        <v>-136.74</v>
      </c>
      <c r="N33" s="13">
        <v>332.28</v>
      </c>
      <c r="O33" s="13">
        <v>253.94</v>
      </c>
      <c r="P33" s="13">
        <v>124.88</v>
      </c>
      <c r="Q33" s="15"/>
      <c r="R33" s="13">
        <v>331.717272727273</v>
      </c>
      <c r="S33" s="13">
        <v>1529.024316017320</v>
      </c>
      <c r="T33" s="13">
        <v>-42.8909090909091</v>
      </c>
      <c r="U33" s="16">
        <v>5503.577170562770</v>
      </c>
      <c r="V33" s="13">
        <v>276.810434782609</v>
      </c>
      <c r="W33" s="13">
        <v>0.782580554445596</v>
      </c>
      <c r="X33" s="13">
        <v>368.578951152263</v>
      </c>
      <c r="Y33" s="13">
        <f>X33-O33</f>
        <v>114.638951152263</v>
      </c>
      <c r="Z33" s="13">
        <f>Y33*4800/SUM(Y3:Y252)</f>
        <v>38.8358678873701</v>
      </c>
      <c r="AA33" s="15"/>
      <c r="AB33" s="15"/>
    </row>
    <row r="34" ht="20.05" customHeight="1">
      <c r="A34" s="11">
        <v>43</v>
      </c>
      <c r="B34" t="s" s="12">
        <v>75</v>
      </c>
      <c r="C34" s="13">
        <v>376.4</v>
      </c>
      <c r="D34" s="13">
        <v>6904</v>
      </c>
      <c r="E34" s="13">
        <v>2023</v>
      </c>
      <c r="F34" t="s" s="14">
        <v>29</v>
      </c>
      <c r="G34" s="13">
        <v>4</v>
      </c>
      <c r="H34" s="13">
        <v>23.2</v>
      </c>
      <c r="I34" t="s" s="14">
        <v>92</v>
      </c>
      <c r="J34" t="s" s="14">
        <v>93</v>
      </c>
      <c r="K34" t="s" s="14">
        <f>_xlfn.CONCAT(LEFT(I34,1),". ",J34)</f>
        <v>94</v>
      </c>
      <c r="L34" s="13">
        <v>371.82</v>
      </c>
      <c r="M34" s="13">
        <v>-4.57999999999998</v>
      </c>
      <c r="N34" s="13">
        <v>332.28</v>
      </c>
      <c r="O34" s="13">
        <v>253.94</v>
      </c>
      <c r="P34" s="13">
        <v>122.46</v>
      </c>
      <c r="Q34" s="13">
        <f>P34*4800/SUM(P3:P252)</f>
        <v>39.1268924164887</v>
      </c>
      <c r="R34" s="13">
        <v>331.717272727273</v>
      </c>
      <c r="S34" s="13">
        <v>1529.024316017320</v>
      </c>
      <c r="T34" s="13">
        <v>-42.8909090909091</v>
      </c>
      <c r="U34" s="16">
        <v>5503.577170562770</v>
      </c>
      <c r="V34" s="13">
        <v>276.810434782609</v>
      </c>
      <c r="W34" s="13">
        <v>0.782580554445596</v>
      </c>
      <c r="X34" s="13">
        <v>366.685106210505</v>
      </c>
      <c r="Y34" s="13">
        <f>X34-O34</f>
        <v>112.745106210505</v>
      </c>
      <c r="Z34" s="13">
        <f>Y34*4800/SUM(Y3:Y252)</f>
        <v>38.1942961421821</v>
      </c>
      <c r="AA34" s="15"/>
      <c r="AB34" s="13">
        <f>_xlfn.XLOOKUP(K34,AF256:AF398,AH256:AH398)</f>
        <v>37</v>
      </c>
    </row>
    <row r="35" ht="8.35" customHeight="1" hidden="1">
      <c r="A35" s="11">
        <v>68</v>
      </c>
      <c r="B35" t="s" s="12">
        <v>28</v>
      </c>
      <c r="C35" s="13">
        <v>206.6</v>
      </c>
      <c r="D35" s="13">
        <v>4137</v>
      </c>
      <c r="E35" s="13">
        <v>2022</v>
      </c>
      <c r="F35" t="s" s="14">
        <v>29</v>
      </c>
      <c r="G35" s="13">
        <v>7</v>
      </c>
      <c r="H35" s="13">
        <v>29.3</v>
      </c>
      <c r="I35" t="s" s="14">
        <v>95</v>
      </c>
      <c r="J35" t="s" s="14">
        <v>96</v>
      </c>
      <c r="K35" s="15"/>
      <c r="L35" s="13">
        <v>176.2</v>
      </c>
      <c r="M35" s="13">
        <v>-30.4</v>
      </c>
      <c r="N35" s="13">
        <v>213.8</v>
      </c>
      <c r="O35" s="13">
        <v>96.40000000000001</v>
      </c>
      <c r="P35" s="13">
        <v>110.2</v>
      </c>
      <c r="Q35" s="15"/>
      <c r="R35" s="13">
        <v>213.208888888889</v>
      </c>
      <c r="S35" s="16">
        <v>1627.093555555560</v>
      </c>
      <c r="T35" s="13">
        <v>-26.4791111111111</v>
      </c>
      <c r="U35" s="16">
        <v>2651.024017373740</v>
      </c>
      <c r="V35" s="13">
        <v>176.409166666667</v>
      </c>
      <c r="W35" s="13">
        <v>0.619670678091846</v>
      </c>
      <c r="X35" s="13">
        <v>209.113554229677</v>
      </c>
      <c r="Y35" s="13">
        <f>X35-O35</f>
        <v>112.713554229677</v>
      </c>
      <c r="Z35" s="13">
        <f>Y35*4800/SUM(Y3:Y252)</f>
        <v>38.1836073793602</v>
      </c>
      <c r="AA35" s="15"/>
      <c r="AB35" s="15"/>
    </row>
    <row r="36" ht="20.05" customHeight="1">
      <c r="A36" s="11">
        <v>91</v>
      </c>
      <c r="B36" t="s" s="12">
        <v>46</v>
      </c>
      <c r="C36" s="13">
        <v>254.2</v>
      </c>
      <c r="D36" s="13">
        <v>3321</v>
      </c>
      <c r="E36" s="13">
        <v>2023</v>
      </c>
      <c r="F36" t="s" s="14">
        <v>29</v>
      </c>
      <c r="G36" s="13">
        <v>8</v>
      </c>
      <c r="H36" s="13">
        <v>6.8</v>
      </c>
      <c r="I36" t="s" s="14">
        <v>97</v>
      </c>
      <c r="J36" t="s" s="14">
        <v>98</v>
      </c>
      <c r="K36" t="s" s="14">
        <f>_xlfn.CONCAT(LEFT(I36,1),". ",J36)</f>
        <v>99</v>
      </c>
      <c r="L36" s="13">
        <v>316.9</v>
      </c>
      <c r="M36" s="13">
        <v>62.7</v>
      </c>
      <c r="N36" s="13">
        <v>183</v>
      </c>
      <c r="O36" s="13">
        <v>121.5</v>
      </c>
      <c r="P36" s="13">
        <v>132.7</v>
      </c>
      <c r="Q36" s="13">
        <f>P36*4800/SUM(P3:P252)</f>
        <v>42.3986495481631</v>
      </c>
      <c r="R36" s="13">
        <v>191.8725</v>
      </c>
      <c r="S36" s="13">
        <v>1211.201165492960</v>
      </c>
      <c r="T36" s="13">
        <v>-15.8213888888889</v>
      </c>
      <c r="U36" s="13">
        <v>2443.102854381850</v>
      </c>
      <c r="V36" s="13">
        <v>176.051111111111</v>
      </c>
      <c r="W36" s="13">
        <v>0.668554898851997</v>
      </c>
      <c r="X36" s="13">
        <v>233.541855458198</v>
      </c>
      <c r="Y36" s="13">
        <f>X36-O36</f>
        <v>112.041855458198</v>
      </c>
      <c r="Z36" s="13">
        <f>Y36*4800/SUM(Y3:Y252)</f>
        <v>37.9560581520943</v>
      </c>
      <c r="AA36" s="15"/>
      <c r="AB36" s="13">
        <f>_xlfn.XLOOKUP(K36,AF256:AF398,AH256:AH398)</f>
        <v>56</v>
      </c>
    </row>
    <row r="37" ht="20.05" customHeight="1">
      <c r="A37" s="11">
        <v>41</v>
      </c>
      <c r="B37" t="s" s="12">
        <v>75</v>
      </c>
      <c r="C37" s="13">
        <v>375.26</v>
      </c>
      <c r="D37" s="13">
        <v>4046</v>
      </c>
      <c r="E37" s="13">
        <v>2023</v>
      </c>
      <c r="F37" t="s" s="14">
        <v>29</v>
      </c>
      <c r="G37" s="13">
        <v>7</v>
      </c>
      <c r="H37" s="13">
        <v>14.6</v>
      </c>
      <c r="I37" t="s" s="14">
        <v>100</v>
      </c>
      <c r="J37" t="s" s="14">
        <v>101</v>
      </c>
      <c r="K37" t="s" s="14">
        <f>_xlfn.CONCAT(LEFT(I37,1),". ",J37)</f>
        <v>102</v>
      </c>
      <c r="L37" s="13">
        <v>294.22</v>
      </c>
      <c r="M37" s="13">
        <v>-81.04000000000001</v>
      </c>
      <c r="N37" s="13">
        <v>332.28</v>
      </c>
      <c r="O37" s="13">
        <v>253.94</v>
      </c>
      <c r="P37" s="13">
        <v>121.32</v>
      </c>
      <c r="Q37" s="13">
        <f>P37*4800/SUM(P3:P252)</f>
        <v>38.762653829564</v>
      </c>
      <c r="R37" s="13">
        <v>331.717272727273</v>
      </c>
      <c r="S37" s="13">
        <v>1529.024316017320</v>
      </c>
      <c r="T37" s="13">
        <v>-42.8909090909091</v>
      </c>
      <c r="U37" s="16">
        <v>5503.577170562770</v>
      </c>
      <c r="V37" s="13">
        <v>276.810434782609</v>
      </c>
      <c r="W37" s="13">
        <v>0.782580554445596</v>
      </c>
      <c r="X37" s="16">
        <v>365.792964378437</v>
      </c>
      <c r="Y37" s="13">
        <f>X37-O37</f>
        <v>111.852964378437</v>
      </c>
      <c r="Z37" s="13">
        <f>Y37*4800/SUM(Y3:Y252)</f>
        <v>37.892068129986</v>
      </c>
      <c r="AA37" s="15"/>
      <c r="AB37" s="13">
        <f>_xlfn.XLOOKUP(K37,AF256:AF398,AH256:AH398)</f>
        <v>40</v>
      </c>
    </row>
    <row r="38" ht="20.05" customHeight="1">
      <c r="A38" s="11">
        <v>63</v>
      </c>
      <c r="B38" t="s" s="12">
        <v>28</v>
      </c>
      <c r="C38" s="13">
        <v>203.6</v>
      </c>
      <c r="D38" s="13">
        <v>7611</v>
      </c>
      <c r="E38" s="13">
        <v>2023</v>
      </c>
      <c r="F38" t="s" s="14">
        <v>29</v>
      </c>
      <c r="G38" s="13">
        <v>3</v>
      </c>
      <c r="H38" s="13">
        <v>31.8</v>
      </c>
      <c r="I38" t="s" s="14">
        <v>103</v>
      </c>
      <c r="J38" t="s" s="14">
        <v>104</v>
      </c>
      <c r="K38" t="s" s="14">
        <f>_xlfn.CONCAT(LEFT(I38,1),". ",J38)</f>
        <v>105</v>
      </c>
      <c r="L38" s="13">
        <v>126.7</v>
      </c>
      <c r="M38" s="13">
        <v>-76.90000000000001</v>
      </c>
      <c r="N38" s="13">
        <v>213.8</v>
      </c>
      <c r="O38" s="13">
        <v>96.40000000000001</v>
      </c>
      <c r="P38" s="13">
        <v>107.2</v>
      </c>
      <c r="Q38" s="13">
        <f>P38*4800/SUM(P3:P252)</f>
        <v>34.2512074722162</v>
      </c>
      <c r="R38" s="13">
        <v>213.208888888889</v>
      </c>
      <c r="S38" s="16">
        <v>1627.093555555560</v>
      </c>
      <c r="T38" s="13">
        <v>-26.4791111111111</v>
      </c>
      <c r="U38" s="16">
        <v>2651.024017373740</v>
      </c>
      <c r="V38" s="13">
        <v>176.409166666667</v>
      </c>
      <c r="W38" s="13">
        <v>0.619670678091846</v>
      </c>
      <c r="X38" s="13">
        <v>207.254542195402</v>
      </c>
      <c r="Y38" s="13">
        <f>X38-O38</f>
        <v>110.854542195402</v>
      </c>
      <c r="Z38" s="13">
        <f>Y38*4800/SUM(Y3:Y252)</f>
        <v>37.5538358659394</v>
      </c>
      <c r="AA38" s="15"/>
      <c r="AB38" s="13">
        <f>_xlfn.XLOOKUP(K38,AF256:AF398,AH256:AH398)</f>
        <v>32</v>
      </c>
    </row>
    <row r="39" ht="8.35" customHeight="1" hidden="1">
      <c r="A39" s="11">
        <v>46</v>
      </c>
      <c r="B39" t="s" s="12">
        <v>75</v>
      </c>
      <c r="C39" s="13">
        <v>373.96</v>
      </c>
      <c r="D39" s="13">
        <v>6904</v>
      </c>
      <c r="E39" s="13">
        <v>2022</v>
      </c>
      <c r="F39" t="s" s="14">
        <v>29</v>
      </c>
      <c r="G39" s="13">
        <v>4</v>
      </c>
      <c r="H39" s="13">
        <v>62.3</v>
      </c>
      <c r="I39" t="s" s="14">
        <v>92</v>
      </c>
      <c r="J39" t="s" s="14">
        <v>93</v>
      </c>
      <c r="K39" s="15"/>
      <c r="L39" s="13">
        <v>383.04</v>
      </c>
      <c r="M39" s="13">
        <v>9.080000000000039</v>
      </c>
      <c r="N39" s="13">
        <v>332.28</v>
      </c>
      <c r="O39" s="13">
        <v>253.94</v>
      </c>
      <c r="P39" s="13">
        <v>120.02</v>
      </c>
      <c r="Q39" s="15"/>
      <c r="R39" s="13">
        <v>331.717272727273</v>
      </c>
      <c r="S39" s="13">
        <v>1529.024316017320</v>
      </c>
      <c r="T39" s="13">
        <v>-42.8909090909091</v>
      </c>
      <c r="U39" s="16">
        <v>5503.577170562770</v>
      </c>
      <c r="V39" s="13">
        <v>276.810434782609</v>
      </c>
      <c r="W39" s="13">
        <v>0.782580554445596</v>
      </c>
      <c r="X39" s="13">
        <v>364.775609657658</v>
      </c>
      <c r="Y39" s="13">
        <f>X39-O39</f>
        <v>110.835609657658</v>
      </c>
      <c r="Z39" s="13">
        <f>Y39*4800/SUM(Y3:Y252)</f>
        <v>37.5474221511661</v>
      </c>
      <c r="AA39" s="15"/>
      <c r="AB39" s="15"/>
    </row>
    <row r="40" ht="20.05" customHeight="1">
      <c r="A40" s="11">
        <v>42</v>
      </c>
      <c r="B40" t="s" s="12">
        <v>75</v>
      </c>
      <c r="C40" s="13">
        <v>373.62</v>
      </c>
      <c r="D40" s="13">
        <v>4984</v>
      </c>
      <c r="E40" s="13">
        <v>2023</v>
      </c>
      <c r="F40" t="s" s="14">
        <v>29</v>
      </c>
      <c r="G40" s="13">
        <v>6</v>
      </c>
      <c r="H40" s="13">
        <v>20.5</v>
      </c>
      <c r="I40" t="s" s="14">
        <v>44</v>
      </c>
      <c r="J40" t="s" s="14">
        <v>76</v>
      </c>
      <c r="K40" t="s" s="14">
        <f>_xlfn.CONCAT(LEFT(I40,1),". ",J40)</f>
        <v>106</v>
      </c>
      <c r="L40" s="13">
        <v>410.64</v>
      </c>
      <c r="M40" s="13">
        <v>37.02</v>
      </c>
      <c r="N40" s="13">
        <v>332.28</v>
      </c>
      <c r="O40" s="13">
        <v>253.94</v>
      </c>
      <c r="P40" s="13">
        <v>119.68</v>
      </c>
      <c r="Q40" s="13">
        <f>P40*4800/SUM(P3:P252)</f>
        <v>38.2386614764443</v>
      </c>
      <c r="R40" s="13">
        <v>331.717272727273</v>
      </c>
      <c r="S40" s="13">
        <v>1529.024316017320</v>
      </c>
      <c r="T40" s="13">
        <v>-42.8909090909091</v>
      </c>
      <c r="U40" s="16">
        <v>5503.577170562770</v>
      </c>
      <c r="V40" s="13">
        <v>276.810434782609</v>
      </c>
      <c r="W40" s="13">
        <v>0.782580554445596</v>
      </c>
      <c r="X40" s="13">
        <v>364.509532269146</v>
      </c>
      <c r="Y40" s="13">
        <f>X40-O40</f>
        <v>110.569532269146</v>
      </c>
      <c r="Z40" s="13">
        <f>Y40*4800/SUM(Y3:Y252)</f>
        <v>37.4572839720899</v>
      </c>
      <c r="AA40" s="15"/>
      <c r="AB40" s="13">
        <f>_xlfn.XLOOKUP(K40,AF256:AF398,AH256:AH398)</f>
        <v>32</v>
      </c>
    </row>
    <row r="41" ht="20.05" customHeight="1">
      <c r="A41" s="11">
        <v>61</v>
      </c>
      <c r="B41" t="s" s="12">
        <v>28</v>
      </c>
      <c r="C41" s="13">
        <v>202.9</v>
      </c>
      <c r="D41" s="13">
        <v>7528</v>
      </c>
      <c r="E41" s="13">
        <v>2023</v>
      </c>
      <c r="F41" t="s" s="14">
        <v>29</v>
      </c>
      <c r="G41" s="13">
        <v>3</v>
      </c>
      <c r="H41" s="13">
        <v>24.3</v>
      </c>
      <c r="I41" t="s" s="14">
        <v>69</v>
      </c>
      <c r="J41" t="s" s="14">
        <v>70</v>
      </c>
      <c r="K41" t="s" s="14">
        <f>_xlfn.CONCAT(LEFT(I41,1),". ",J41)</f>
        <v>107</v>
      </c>
      <c r="L41" s="13">
        <v>181</v>
      </c>
      <c r="M41" s="13">
        <v>-21.9</v>
      </c>
      <c r="N41" s="13">
        <v>213.8</v>
      </c>
      <c r="O41" s="13">
        <v>96.40000000000001</v>
      </c>
      <c r="P41" s="13">
        <v>106.5</v>
      </c>
      <c r="Q41" s="13">
        <f>P41*4800/SUM(P3:P252)</f>
        <v>34.0275521995431</v>
      </c>
      <c r="R41" s="13">
        <v>213.208888888889</v>
      </c>
      <c r="S41" s="16">
        <v>1627.093555555560</v>
      </c>
      <c r="T41" s="13">
        <v>-26.4791111111111</v>
      </c>
      <c r="U41" s="16">
        <v>2651.024017373740</v>
      </c>
      <c r="V41" s="13">
        <v>176.409166666667</v>
      </c>
      <c r="W41" s="13">
        <v>0.619670678091846</v>
      </c>
      <c r="X41" s="13">
        <v>206.820772720738</v>
      </c>
      <c r="Y41" s="13">
        <f>X41-O41</f>
        <v>110.420772720738</v>
      </c>
      <c r="Z41" s="13">
        <f>Y41*4800/SUM(Y3:Y252)</f>
        <v>37.4068891794746</v>
      </c>
      <c r="AA41" s="15"/>
      <c r="AB41" s="13">
        <f>_xlfn.XLOOKUP(K41,AF256:AF398,AH256:AH398)</f>
        <v>33</v>
      </c>
    </row>
    <row r="42" ht="20.05" customHeight="1">
      <c r="A42" s="11">
        <v>65</v>
      </c>
      <c r="B42" t="s" s="12">
        <v>28</v>
      </c>
      <c r="C42" s="13">
        <v>201.7</v>
      </c>
      <c r="D42" s="13">
        <v>4018</v>
      </c>
      <c r="E42" s="13">
        <v>2023</v>
      </c>
      <c r="F42" t="s" s="14">
        <v>29</v>
      </c>
      <c r="G42" s="13">
        <v>7</v>
      </c>
      <c r="H42" s="13">
        <v>33.8</v>
      </c>
      <c r="I42" t="s" s="14">
        <v>42</v>
      </c>
      <c r="J42" t="s" s="14">
        <v>43</v>
      </c>
      <c r="K42" t="s" s="14">
        <f>_xlfn.CONCAT(LEFT(I42,1),". ",J42)</f>
        <v>108</v>
      </c>
      <c r="L42" s="13">
        <v>241</v>
      </c>
      <c r="M42" s="13">
        <v>39.3</v>
      </c>
      <c r="N42" s="13">
        <v>213.8</v>
      </c>
      <c r="O42" s="13">
        <v>96.40000000000001</v>
      </c>
      <c r="P42" s="13">
        <v>105.3</v>
      </c>
      <c r="Q42" s="13">
        <f>P42*4800/SUM(P3:P252)</f>
        <v>33.644143160675</v>
      </c>
      <c r="R42" s="13">
        <v>213.208888888889</v>
      </c>
      <c r="S42" s="16">
        <v>1627.093555555560</v>
      </c>
      <c r="T42" s="13">
        <v>-26.4791111111111</v>
      </c>
      <c r="U42" s="16">
        <v>2651.024017373740</v>
      </c>
      <c r="V42" s="13">
        <v>176.409166666667</v>
      </c>
      <c r="W42" s="13">
        <v>0.619670678091846</v>
      </c>
      <c r="X42" s="13">
        <v>206.077167907027</v>
      </c>
      <c r="Y42" s="13">
        <f>X42-O42</f>
        <v>109.677167907027</v>
      </c>
      <c r="Z42" s="13">
        <f>Y42*4800/SUM(Y3:Y252)</f>
        <v>37.1549805741059</v>
      </c>
      <c r="AA42" s="15"/>
      <c r="AB42" s="13">
        <f>_xlfn.XLOOKUP(K42,AF256:AF398,AH256:AH398)</f>
        <v>35</v>
      </c>
    </row>
    <row r="43" ht="20.05" customHeight="1">
      <c r="A43" s="11">
        <v>70</v>
      </c>
      <c r="B43" t="s" s="12">
        <v>28</v>
      </c>
      <c r="C43" s="13">
        <v>201.1</v>
      </c>
      <c r="D43" s="13">
        <v>8129</v>
      </c>
      <c r="E43" s="13">
        <v>2023</v>
      </c>
      <c r="F43" t="s" s="14">
        <v>29</v>
      </c>
      <c r="G43" s="13">
        <v>2</v>
      </c>
      <c r="H43" s="13">
        <v>47</v>
      </c>
      <c r="I43" t="s" s="14">
        <v>109</v>
      </c>
      <c r="J43" t="s" s="14">
        <v>110</v>
      </c>
      <c r="K43" t="s" s="14">
        <f>_xlfn.CONCAT(LEFT(I43,1),". ",J43)</f>
        <v>111</v>
      </c>
      <c r="L43" s="13">
        <v>76.2</v>
      </c>
      <c r="M43" s="13">
        <v>-124.9</v>
      </c>
      <c r="N43" s="13">
        <v>213.8</v>
      </c>
      <c r="O43" s="13">
        <v>96.40000000000001</v>
      </c>
      <c r="P43" s="13">
        <v>104.7</v>
      </c>
      <c r="Q43" s="13">
        <f>P43*4800/SUM(P3:P252)</f>
        <v>33.452438641241</v>
      </c>
      <c r="R43" s="13">
        <v>213.208888888889</v>
      </c>
      <c r="S43" s="16">
        <v>1627.093555555560</v>
      </c>
      <c r="T43" s="13">
        <v>-26.4791111111111</v>
      </c>
      <c r="U43" s="16">
        <v>2651.024017373740</v>
      </c>
      <c r="V43" s="13">
        <v>176.409166666667</v>
      </c>
      <c r="W43" s="13">
        <v>0.619670678091846</v>
      </c>
      <c r="X43" s="13">
        <v>205.705365500172</v>
      </c>
      <c r="Y43" s="13">
        <f>X43-O43</f>
        <v>109.305365500172</v>
      </c>
      <c r="Z43" s="13">
        <f>Y43*4800/SUM(Y3:Y252)</f>
        <v>37.0290262714217</v>
      </c>
      <c r="AA43" s="15"/>
      <c r="AB43" s="13">
        <f>_xlfn.XLOOKUP(K43,AF256:AF398,AH256:AH398)</f>
        <v>26</v>
      </c>
    </row>
    <row r="44" ht="8.35" customHeight="1" hidden="1">
      <c r="A44" s="11">
        <v>93</v>
      </c>
      <c r="B44" t="s" s="12">
        <v>46</v>
      </c>
      <c r="C44" s="13">
        <v>248.2</v>
      </c>
      <c r="D44" s="13">
        <v>2449</v>
      </c>
      <c r="E44" s="13">
        <v>2022</v>
      </c>
      <c r="F44" t="s" s="14">
        <v>29</v>
      </c>
      <c r="G44" s="13">
        <v>9</v>
      </c>
      <c r="H44" s="13">
        <v>13.1</v>
      </c>
      <c r="I44" t="s" s="14">
        <v>112</v>
      </c>
      <c r="J44" t="s" s="14">
        <v>113</v>
      </c>
      <c r="K44" s="15"/>
      <c r="L44" s="13">
        <v>266.2</v>
      </c>
      <c r="M44" s="13">
        <v>18</v>
      </c>
      <c r="N44" s="13">
        <v>183</v>
      </c>
      <c r="O44" s="13">
        <v>121.5</v>
      </c>
      <c r="P44" s="13">
        <v>126.7</v>
      </c>
      <c r="Q44" s="15"/>
      <c r="R44" s="13">
        <v>191.8725</v>
      </c>
      <c r="S44" s="13">
        <v>1211.201165492960</v>
      </c>
      <c r="T44" s="13">
        <v>-15.8213888888889</v>
      </c>
      <c r="U44" s="13">
        <v>2443.102854381850</v>
      </c>
      <c r="V44" s="13">
        <v>176.051111111111</v>
      </c>
      <c r="W44" s="13">
        <v>0.668554898851997</v>
      </c>
      <c r="X44" s="13">
        <v>229.530526065086</v>
      </c>
      <c r="Y44" s="13">
        <f>X44-O44</f>
        <v>108.030526065086</v>
      </c>
      <c r="Z44" s="13">
        <f>Y44*4800/SUM(Y3:Y252)</f>
        <v>36.5971530260634</v>
      </c>
      <c r="AA44" s="15"/>
      <c r="AB44" s="15"/>
    </row>
    <row r="45" ht="8.35" customHeight="1" hidden="1">
      <c r="A45" s="11">
        <v>42</v>
      </c>
      <c r="B45" t="s" s="12">
        <v>75</v>
      </c>
      <c r="C45" s="13">
        <v>367.2</v>
      </c>
      <c r="D45" s="13">
        <v>4046</v>
      </c>
      <c r="E45" s="13">
        <v>2022</v>
      </c>
      <c r="F45" t="s" s="14">
        <v>29</v>
      </c>
      <c r="G45" s="13">
        <v>7</v>
      </c>
      <c r="H45" s="13">
        <v>32.4</v>
      </c>
      <c r="I45" t="s" s="14">
        <v>100</v>
      </c>
      <c r="J45" t="s" s="14">
        <v>101</v>
      </c>
      <c r="K45" s="15"/>
      <c r="L45" s="13">
        <v>427.9</v>
      </c>
      <c r="M45" s="13">
        <v>60.7</v>
      </c>
      <c r="N45" s="13">
        <v>332.28</v>
      </c>
      <c r="O45" s="13">
        <v>253.94</v>
      </c>
      <c r="P45" s="13">
        <v>113.26</v>
      </c>
      <c r="Q45" s="15"/>
      <c r="R45" s="13">
        <v>331.717272727273</v>
      </c>
      <c r="S45" s="13">
        <v>1529.024316017320</v>
      </c>
      <c r="T45" s="13">
        <v>-42.8909090909091</v>
      </c>
      <c r="U45" s="16">
        <v>5503.577170562770</v>
      </c>
      <c r="V45" s="13">
        <v>276.810434782609</v>
      </c>
      <c r="W45" s="13">
        <v>0.782580554445596</v>
      </c>
      <c r="X45" s="13">
        <v>359.485365109606</v>
      </c>
      <c r="Y45" s="13">
        <f>X45-O45</f>
        <v>105.545365109606</v>
      </c>
      <c r="Z45" s="13">
        <f>Y45*4800/SUM(Y3:Y252)</f>
        <v>35.7552630613019</v>
      </c>
      <c r="AA45" s="15"/>
      <c r="AB45" s="15"/>
    </row>
    <row r="46" ht="20.05" customHeight="1">
      <c r="A46" s="11">
        <v>68</v>
      </c>
      <c r="B46" t="s" s="12">
        <v>28</v>
      </c>
      <c r="C46" s="13">
        <v>194.8</v>
      </c>
      <c r="D46" s="13">
        <v>8151</v>
      </c>
      <c r="E46" s="13">
        <v>2023</v>
      </c>
      <c r="F46" t="s" s="14">
        <v>29</v>
      </c>
      <c r="G46" s="13">
        <v>2</v>
      </c>
      <c r="H46" s="13">
        <v>42.4</v>
      </c>
      <c r="I46" t="s" s="14">
        <v>114</v>
      </c>
      <c r="J46" t="s" s="14">
        <v>115</v>
      </c>
      <c r="K46" t="s" s="14">
        <f>_xlfn.CONCAT(LEFT(I46,1),". ",J46)</f>
        <v>116</v>
      </c>
      <c r="L46" s="13">
        <v>184.9</v>
      </c>
      <c r="M46" s="13">
        <v>-9.900000000000009</v>
      </c>
      <c r="N46" s="13">
        <v>213.8</v>
      </c>
      <c r="O46" s="13">
        <v>96.40000000000001</v>
      </c>
      <c r="P46" s="13">
        <v>98.40000000000001</v>
      </c>
      <c r="Q46" s="13">
        <f>P46*4800/SUM(P3:P252)</f>
        <v>31.4395411871835</v>
      </c>
      <c r="R46" s="13">
        <v>213.208888888889</v>
      </c>
      <c r="S46" s="16">
        <v>1627.093555555560</v>
      </c>
      <c r="T46" s="13">
        <v>-26.4791111111111</v>
      </c>
      <c r="U46" s="16">
        <v>2651.024017373740</v>
      </c>
      <c r="V46" s="13">
        <v>176.409166666667</v>
      </c>
      <c r="W46" s="13">
        <v>0.619670678091846</v>
      </c>
      <c r="X46" s="13">
        <v>201.801440228194</v>
      </c>
      <c r="Y46" s="13">
        <f>X46-O46</f>
        <v>105.401440228194</v>
      </c>
      <c r="Z46" s="13">
        <f>Y46*4800/SUM(Y3:Y252)</f>
        <v>35.7065060932379</v>
      </c>
      <c r="AA46" s="15"/>
      <c r="AB46" s="13">
        <f>_xlfn.XLOOKUP(K46,AF256:AF398,AH256:AH398)</f>
        <v>29</v>
      </c>
    </row>
    <row r="47" ht="8.35" customHeight="1" hidden="1">
      <c r="A47" s="11">
        <v>70</v>
      </c>
      <c r="B47" t="s" s="12">
        <v>28</v>
      </c>
      <c r="C47" s="13">
        <v>193.8</v>
      </c>
      <c r="D47" s="13">
        <v>5892</v>
      </c>
      <c r="E47" s="13">
        <v>2022</v>
      </c>
      <c r="F47" t="s" s="14">
        <v>29</v>
      </c>
      <c r="G47" s="13">
        <v>5</v>
      </c>
      <c r="H47" s="13">
        <v>37</v>
      </c>
      <c r="I47" t="s" s="14">
        <v>117</v>
      </c>
      <c r="J47" t="s" s="14">
        <v>118</v>
      </c>
      <c r="K47" s="15"/>
      <c r="L47" s="13">
        <v>160.7</v>
      </c>
      <c r="M47" s="13">
        <v>-33.1</v>
      </c>
      <c r="N47" s="13">
        <v>213.8</v>
      </c>
      <c r="O47" s="13">
        <v>96.40000000000001</v>
      </c>
      <c r="P47" s="13">
        <v>97.40000000000001</v>
      </c>
      <c r="Q47" s="15"/>
      <c r="R47" s="13">
        <v>213.208888888889</v>
      </c>
      <c r="S47" s="16">
        <v>1627.093555555560</v>
      </c>
      <c r="T47" s="13">
        <v>-26.4791111111111</v>
      </c>
      <c r="U47" s="16">
        <v>2651.024017373740</v>
      </c>
      <c r="V47" s="13">
        <v>176.409166666667</v>
      </c>
      <c r="W47" s="13">
        <v>0.619670678091846</v>
      </c>
      <c r="X47" s="13">
        <v>201.181769550102</v>
      </c>
      <c r="Y47" s="13">
        <f>X47-O47</f>
        <v>104.781769550102</v>
      </c>
      <c r="Z47" s="13">
        <f>Y47*4800/SUM(Y3:Y252)</f>
        <v>35.4965822554308</v>
      </c>
      <c r="AA47" s="15"/>
      <c r="AB47" s="15"/>
    </row>
    <row r="48" ht="20.05" customHeight="1">
      <c r="A48" s="11">
        <v>96</v>
      </c>
      <c r="B48" t="s" s="12">
        <v>46</v>
      </c>
      <c r="C48" s="13">
        <v>240.7</v>
      </c>
      <c r="D48" s="13">
        <v>2133</v>
      </c>
      <c r="E48" s="13">
        <v>2023</v>
      </c>
      <c r="F48" t="s" s="14">
        <v>29</v>
      </c>
      <c r="G48" s="13">
        <v>10</v>
      </c>
      <c r="H48" s="13">
        <v>16.9</v>
      </c>
      <c r="I48" t="s" s="14">
        <v>119</v>
      </c>
      <c r="J48" t="s" s="14">
        <v>120</v>
      </c>
      <c r="K48" t="s" s="14">
        <f>_xlfn.CONCAT(LEFT(I48,1),". ",J48)</f>
        <v>121</v>
      </c>
      <c r="L48" s="13">
        <v>213.9</v>
      </c>
      <c r="M48" s="13">
        <v>-26.8</v>
      </c>
      <c r="N48" s="13">
        <v>183</v>
      </c>
      <c r="O48" s="13">
        <v>121.5</v>
      </c>
      <c r="P48" s="13">
        <v>119.2</v>
      </c>
      <c r="Q48" s="13">
        <f>P48*4800/SUM(P3:P252)</f>
        <v>38.0852978608971</v>
      </c>
      <c r="R48" s="13">
        <v>191.8725</v>
      </c>
      <c r="S48" s="13">
        <v>1211.201165492960</v>
      </c>
      <c r="T48" s="13">
        <v>-15.8213888888889</v>
      </c>
      <c r="U48" s="13">
        <v>2443.102854381850</v>
      </c>
      <c r="V48" s="13">
        <v>176.051111111111</v>
      </c>
      <c r="W48" s="13">
        <v>0.668554898851997</v>
      </c>
      <c r="X48" s="13">
        <v>224.516364323696</v>
      </c>
      <c r="Y48" s="13">
        <f>X48-O48</f>
        <v>103.016364323696</v>
      </c>
      <c r="Z48" s="13">
        <f>Y48*4800/SUM(Y3:Y252)</f>
        <v>34.8985216185247</v>
      </c>
      <c r="AA48" t="s" s="14">
        <v>87</v>
      </c>
      <c r="AB48" s="13">
        <f>_xlfn.XLOOKUP(K48,AF256:AF398,AH256:AH398)</f>
        <v>44</v>
      </c>
    </row>
    <row r="49" ht="20.05" customHeight="1">
      <c r="A49" s="11">
        <v>92</v>
      </c>
      <c r="B49" t="s" s="12">
        <v>46</v>
      </c>
      <c r="C49" s="13">
        <v>240.6</v>
      </c>
      <c r="D49" s="13">
        <v>2449</v>
      </c>
      <c r="E49" s="13">
        <v>2023</v>
      </c>
      <c r="F49" t="s" s="14">
        <v>29</v>
      </c>
      <c r="G49" s="13">
        <v>9</v>
      </c>
      <c r="H49" s="13">
        <v>11.4</v>
      </c>
      <c r="I49" t="s" s="14">
        <v>112</v>
      </c>
      <c r="J49" t="s" s="14">
        <v>113</v>
      </c>
      <c r="K49" t="s" s="14">
        <f>_xlfn.CONCAT(LEFT(I49,1),". ",J49)</f>
        <v>122</v>
      </c>
      <c r="L49" s="13">
        <v>220.3</v>
      </c>
      <c r="M49" s="13">
        <v>-20.3</v>
      </c>
      <c r="N49" s="13">
        <v>183</v>
      </c>
      <c r="O49" s="13">
        <v>121.5</v>
      </c>
      <c r="P49" s="13">
        <v>119.1</v>
      </c>
      <c r="Q49" s="13">
        <f>P49*4800/SUM(P3:P252)</f>
        <v>38.0533471076581</v>
      </c>
      <c r="R49" s="13">
        <v>191.8725</v>
      </c>
      <c r="S49" s="13">
        <v>1211.201165492960</v>
      </c>
      <c r="T49" s="13">
        <v>-15.8213888888889</v>
      </c>
      <c r="U49" s="13">
        <v>2443.102854381850</v>
      </c>
      <c r="V49" s="13">
        <v>176.051111111111</v>
      </c>
      <c r="W49" s="13">
        <v>0.668554898851997</v>
      </c>
      <c r="X49" s="13">
        <v>224.449508833811</v>
      </c>
      <c r="Y49" s="13">
        <f>X49-O49</f>
        <v>102.949508833811</v>
      </c>
      <c r="Z49" s="13">
        <f>Y49*4800/SUM(Y3:Y252)</f>
        <v>34.8758731997575</v>
      </c>
      <c r="AA49" s="15"/>
      <c r="AB49" s="13">
        <f>_xlfn.XLOOKUP(K49,AF256:AF398,AH256:AH398)</f>
        <v>49</v>
      </c>
    </row>
    <row r="50" ht="8.35" customHeight="1" hidden="1">
      <c r="A50" s="11">
        <v>91</v>
      </c>
      <c r="B50" t="s" s="12">
        <v>46</v>
      </c>
      <c r="C50" s="13">
        <v>238.6</v>
      </c>
      <c r="D50" s="13">
        <v>7564</v>
      </c>
      <c r="E50" s="13">
        <v>2022</v>
      </c>
      <c r="F50" t="s" s="14">
        <v>29</v>
      </c>
      <c r="G50" s="13">
        <v>3</v>
      </c>
      <c r="H50" s="13">
        <v>10.4</v>
      </c>
      <c r="I50" t="s" s="14">
        <v>72</v>
      </c>
      <c r="J50" t="s" s="14">
        <v>73</v>
      </c>
      <c r="K50" s="15"/>
      <c r="L50" s="13">
        <v>197.9</v>
      </c>
      <c r="M50" s="13">
        <v>-40.7</v>
      </c>
      <c r="N50" s="13">
        <v>183</v>
      </c>
      <c r="O50" s="13">
        <v>121.5</v>
      </c>
      <c r="P50" s="13">
        <v>117.1</v>
      </c>
      <c r="Q50" s="15"/>
      <c r="R50" s="13">
        <v>191.8725</v>
      </c>
      <c r="S50" s="13">
        <v>1211.201165492960</v>
      </c>
      <c r="T50" s="13">
        <v>-15.8213888888889</v>
      </c>
      <c r="U50" s="13">
        <v>2443.102854381850</v>
      </c>
      <c r="V50" s="13">
        <v>176.051111111111</v>
      </c>
      <c r="W50" s="13">
        <v>0.668554898851997</v>
      </c>
      <c r="X50" s="13">
        <v>223.112399036107</v>
      </c>
      <c r="Y50" s="13">
        <f>X50-O50</f>
        <v>101.612399036107</v>
      </c>
      <c r="Z50" s="13">
        <f>Y50*4800/SUM(Y3:Y252)</f>
        <v>34.4229048244139</v>
      </c>
      <c r="AA50" s="15"/>
      <c r="AB50" s="15"/>
    </row>
    <row r="51" ht="8.35" customHeight="1" hidden="1">
      <c r="A51" s="11">
        <v>95</v>
      </c>
      <c r="B51" t="s" s="12">
        <v>46</v>
      </c>
      <c r="C51" s="13">
        <v>238.3</v>
      </c>
      <c r="D51" s="13">
        <v>3321</v>
      </c>
      <c r="E51" s="13">
        <v>2022</v>
      </c>
      <c r="F51" t="s" s="14">
        <v>29</v>
      </c>
      <c r="G51" s="13">
        <v>8</v>
      </c>
      <c r="H51" s="13">
        <v>20.4</v>
      </c>
      <c r="I51" t="s" s="14">
        <v>97</v>
      </c>
      <c r="J51" t="s" s="14">
        <v>98</v>
      </c>
      <c r="K51" s="15"/>
      <c r="L51" s="13">
        <v>286.7</v>
      </c>
      <c r="M51" s="13">
        <v>48.4</v>
      </c>
      <c r="N51" s="13">
        <v>183</v>
      </c>
      <c r="O51" s="13">
        <v>121.5</v>
      </c>
      <c r="P51" s="13">
        <v>116.8</v>
      </c>
      <c r="Q51" s="15"/>
      <c r="R51" s="13">
        <v>191.8725</v>
      </c>
      <c r="S51" s="13">
        <v>1211.201165492960</v>
      </c>
      <c r="T51" s="13">
        <v>-15.8213888888889</v>
      </c>
      <c r="U51" s="13">
        <v>2443.102854381850</v>
      </c>
      <c r="V51" s="13">
        <v>176.051111111111</v>
      </c>
      <c r="W51" s="13">
        <v>0.668554898851997</v>
      </c>
      <c r="X51" s="13">
        <v>222.911832566451</v>
      </c>
      <c r="Y51" s="13">
        <f>X51-O51</f>
        <v>101.411832566451</v>
      </c>
      <c r="Z51" s="13">
        <f>Y51*4800/SUM(Y3:Y252)</f>
        <v>34.3549595681122</v>
      </c>
      <c r="AA51" s="15"/>
      <c r="AB51" s="15"/>
    </row>
    <row r="52" ht="20.05" customHeight="1">
      <c r="A52" s="11">
        <v>67</v>
      </c>
      <c r="B52" t="s" s="12">
        <v>28</v>
      </c>
      <c r="C52" s="13">
        <v>187.6</v>
      </c>
      <c r="D52" s="13">
        <v>4199</v>
      </c>
      <c r="E52" s="13">
        <v>2023</v>
      </c>
      <c r="F52" t="s" s="14">
        <v>29</v>
      </c>
      <c r="G52" s="13">
        <v>7</v>
      </c>
      <c r="H52" s="13">
        <v>40.5</v>
      </c>
      <c r="I52" t="s" s="14">
        <v>63</v>
      </c>
      <c r="J52" t="s" s="14">
        <v>64</v>
      </c>
      <c r="K52" t="s" s="14">
        <f>_xlfn.CONCAT(LEFT(I52,1),". ",J52)</f>
        <v>123</v>
      </c>
      <c r="L52" s="13">
        <v>119.9</v>
      </c>
      <c r="M52" s="13">
        <v>-67.7</v>
      </c>
      <c r="N52" s="13">
        <v>213.8</v>
      </c>
      <c r="O52" s="13">
        <v>96.40000000000001</v>
      </c>
      <c r="P52" s="13">
        <v>91.2</v>
      </c>
      <c r="Q52" s="13">
        <f>P52*4800/SUM(P3:P252)</f>
        <v>29.1390869539749</v>
      </c>
      <c r="R52" s="13">
        <v>213.208888888889</v>
      </c>
      <c r="S52" s="16">
        <v>1627.093555555560</v>
      </c>
      <c r="T52" s="13">
        <v>-26.4791111111111</v>
      </c>
      <c r="U52" s="16">
        <v>2651.024017373740</v>
      </c>
      <c r="V52" s="13">
        <v>176.409166666667</v>
      </c>
      <c r="W52" s="13">
        <v>0.619670678091846</v>
      </c>
      <c r="X52" s="13">
        <v>197.339811345932</v>
      </c>
      <c r="Y52" s="13">
        <f>X52-O52</f>
        <v>100.939811345932</v>
      </c>
      <c r="Z52" s="13">
        <f>Y52*4800/SUM(Y3:Y252)</f>
        <v>34.1950544610272</v>
      </c>
      <c r="AA52" s="15"/>
      <c r="AB52" s="13">
        <f>_xlfn.XLOOKUP(K52,AF256:AF398,AH256:AH398)</f>
        <v>29</v>
      </c>
    </row>
    <row r="53" ht="20.05" customHeight="1">
      <c r="A53" s="11">
        <v>93</v>
      </c>
      <c r="B53" t="s" s="12">
        <v>46</v>
      </c>
      <c r="C53" s="13">
        <v>237.5</v>
      </c>
      <c r="D53" s="13">
        <v>5859</v>
      </c>
      <c r="E53" s="13">
        <v>2023</v>
      </c>
      <c r="F53" t="s" s="14">
        <v>29</v>
      </c>
      <c r="G53" s="13">
        <v>5</v>
      </c>
      <c r="H53" s="13">
        <v>12.5</v>
      </c>
      <c r="I53" t="s" s="14">
        <v>124</v>
      </c>
      <c r="J53" t="s" s="14">
        <v>125</v>
      </c>
      <c r="K53" t="s" s="14">
        <f>_xlfn.CONCAT(LEFT(I53,1),". ",J53)</f>
        <v>126</v>
      </c>
      <c r="L53" s="13">
        <v>236.6</v>
      </c>
      <c r="M53" s="13">
        <v>-0.900000000000006</v>
      </c>
      <c r="N53" s="13">
        <v>183</v>
      </c>
      <c r="O53" s="13">
        <v>121.5</v>
      </c>
      <c r="P53" s="13">
        <v>116</v>
      </c>
      <c r="Q53" s="13">
        <f>P53*4800/SUM(P3:P252)</f>
        <v>37.0628737572488</v>
      </c>
      <c r="R53" s="13">
        <v>191.8725</v>
      </c>
      <c r="S53" s="13">
        <v>1211.201165492960</v>
      </c>
      <c r="T53" s="13">
        <v>-15.8213888888889</v>
      </c>
      <c r="U53" s="13">
        <v>2443.102854381850</v>
      </c>
      <c r="V53" s="13">
        <v>176.051111111111</v>
      </c>
      <c r="W53" s="13">
        <v>0.668554898851997</v>
      </c>
      <c r="X53" s="13">
        <v>222.376988647370</v>
      </c>
      <c r="Y53" s="13">
        <f>X53-O53</f>
        <v>100.876988647370</v>
      </c>
      <c r="Z53" s="13">
        <f>Y53*4800/SUM(Y3:Y252)</f>
        <v>34.173772217975</v>
      </c>
      <c r="AA53" s="15"/>
      <c r="AB53" s="13">
        <f>_xlfn.XLOOKUP(K53,AF256:AF398,AH256:AH398)</f>
        <v>40</v>
      </c>
    </row>
    <row r="54" ht="8.35" customHeight="1" hidden="1">
      <c r="A54" s="11">
        <v>71</v>
      </c>
      <c r="B54" t="s" s="12">
        <v>28</v>
      </c>
      <c r="C54" s="13">
        <v>187.2</v>
      </c>
      <c r="D54" s="13">
        <v>6938</v>
      </c>
      <c r="E54" s="13">
        <v>2022</v>
      </c>
      <c r="F54" t="s" s="14">
        <v>29</v>
      </c>
      <c r="G54" s="13">
        <v>4</v>
      </c>
      <c r="H54" s="13">
        <v>39.5</v>
      </c>
      <c r="I54" t="s" s="14">
        <v>127</v>
      </c>
      <c r="J54" t="s" s="14">
        <v>128</v>
      </c>
      <c r="K54" s="15"/>
      <c r="L54" s="13">
        <v>133.8</v>
      </c>
      <c r="M54" s="13">
        <v>-53.4</v>
      </c>
      <c r="N54" s="13">
        <v>213.8</v>
      </c>
      <c r="O54" s="13">
        <v>96.40000000000001</v>
      </c>
      <c r="P54" s="13">
        <v>90.8</v>
      </c>
      <c r="Q54" s="15"/>
      <c r="R54" s="13">
        <v>213.208888888889</v>
      </c>
      <c r="S54" s="16">
        <v>1627.093555555560</v>
      </c>
      <c r="T54" s="13">
        <v>-26.4791111111111</v>
      </c>
      <c r="U54" s="16">
        <v>2651.024017373740</v>
      </c>
      <c r="V54" s="13">
        <v>176.409166666667</v>
      </c>
      <c r="W54" s="13">
        <v>0.619670678091846</v>
      </c>
      <c r="X54" s="13">
        <v>197.091943074696</v>
      </c>
      <c r="Y54" s="13">
        <f>X54-O54</f>
        <v>100.691943074696</v>
      </c>
      <c r="Z54" s="13">
        <f>Y54*4800/SUM(Y3:Y252)</f>
        <v>34.1110849259047</v>
      </c>
      <c r="AA54" s="15"/>
      <c r="AB54" s="15"/>
    </row>
    <row r="55" ht="20.05" customHeight="1">
      <c r="A55" s="11">
        <v>66</v>
      </c>
      <c r="B55" t="s" s="12">
        <v>28</v>
      </c>
      <c r="C55" s="13">
        <v>184.4</v>
      </c>
      <c r="D55" s="13">
        <v>8155</v>
      </c>
      <c r="E55" s="13">
        <v>2023</v>
      </c>
      <c r="F55" t="s" s="14">
        <v>29</v>
      </c>
      <c r="G55" s="13">
        <v>2</v>
      </c>
      <c r="H55" s="13">
        <v>39</v>
      </c>
      <c r="I55" t="s" s="14">
        <v>80</v>
      </c>
      <c r="J55" t="s" s="14">
        <v>81</v>
      </c>
      <c r="K55" t="s" s="14">
        <f>_xlfn.CONCAT(LEFT(I55,1),". ",J55)</f>
        <v>129</v>
      </c>
      <c r="L55" s="13">
        <v>252.5</v>
      </c>
      <c r="M55" s="13">
        <v>68.09999999999999</v>
      </c>
      <c r="N55" s="13">
        <v>213.8</v>
      </c>
      <c r="O55" s="13">
        <v>96.40000000000001</v>
      </c>
      <c r="P55" s="13">
        <v>88</v>
      </c>
      <c r="Q55" s="13">
        <f>P55*4800/SUM(P3:P252)</f>
        <v>28.1166628503267</v>
      </c>
      <c r="R55" s="13">
        <v>213.208888888889</v>
      </c>
      <c r="S55" s="16">
        <v>1627.093555555560</v>
      </c>
      <c r="T55" s="13">
        <v>-26.4791111111111</v>
      </c>
      <c r="U55" s="16">
        <v>2651.024017373740</v>
      </c>
      <c r="V55" s="13">
        <v>176.409166666667</v>
      </c>
      <c r="W55" s="13">
        <v>0.619670678091846</v>
      </c>
      <c r="X55" s="13">
        <v>195.356865176038</v>
      </c>
      <c r="Y55" s="13">
        <f>X55-O55</f>
        <v>98.95686517603799</v>
      </c>
      <c r="Z55" s="13">
        <f>Y55*4800/SUM(Y3:Y252)</f>
        <v>33.5232981800448</v>
      </c>
      <c r="AA55" s="15"/>
      <c r="AB55" s="13">
        <f>_xlfn.XLOOKUP(K55,AF256:AF398,AH256:AH398)</f>
        <v>23</v>
      </c>
    </row>
    <row r="56" ht="20.05" customHeight="1">
      <c r="A56" s="11">
        <v>72</v>
      </c>
      <c r="B56" t="s" s="12">
        <v>28</v>
      </c>
      <c r="C56" s="13">
        <v>182.4</v>
      </c>
      <c r="D56" s="13">
        <v>6151</v>
      </c>
      <c r="E56" s="13">
        <v>2023</v>
      </c>
      <c r="F56" t="s" s="14">
        <v>29</v>
      </c>
      <c r="G56" s="13">
        <v>5</v>
      </c>
      <c r="H56" s="13">
        <v>52.2</v>
      </c>
      <c r="I56" t="s" s="14">
        <v>130</v>
      </c>
      <c r="J56" t="s" s="14">
        <v>131</v>
      </c>
      <c r="K56" t="s" s="14">
        <f>_xlfn.CONCAT(LEFT(I56,1),". ",J56)</f>
        <v>132</v>
      </c>
      <c r="L56" s="13">
        <v>74.09999999999999</v>
      </c>
      <c r="M56" s="13">
        <v>-108.3</v>
      </c>
      <c r="N56" s="13">
        <v>213.8</v>
      </c>
      <c r="O56" s="13">
        <v>96.40000000000001</v>
      </c>
      <c r="P56" s="13">
        <v>86</v>
      </c>
      <c r="Q56" s="13">
        <f>P56*4800/SUM(P3:P252)</f>
        <v>27.4776477855465</v>
      </c>
      <c r="R56" s="13">
        <v>213.208888888889</v>
      </c>
      <c r="S56" s="16">
        <v>1627.093555555560</v>
      </c>
      <c r="T56" s="13">
        <v>-26.4791111111111</v>
      </c>
      <c r="U56" s="16">
        <v>2651.024017373740</v>
      </c>
      <c r="V56" s="13">
        <v>176.409166666667</v>
      </c>
      <c r="W56" s="13">
        <v>0.619670678091846</v>
      </c>
      <c r="X56" s="13">
        <v>194.117523819855</v>
      </c>
      <c r="Y56" s="13">
        <f>X56-O56</f>
        <v>97.717523819855</v>
      </c>
      <c r="Z56" s="13">
        <f>Y56*4800/SUM(Y3:Y252)</f>
        <v>33.1034505044311</v>
      </c>
      <c r="AA56" s="15"/>
      <c r="AB56" s="13">
        <f>_xlfn.XLOOKUP(K56,AF256:AF398,AH256:AH398)</f>
        <v>16</v>
      </c>
    </row>
    <row r="57" ht="20.05" customHeight="1">
      <c r="A57" s="11">
        <v>94</v>
      </c>
      <c r="B57" t="s" s="12">
        <v>46</v>
      </c>
      <c r="C57" s="13">
        <v>232.7</v>
      </c>
      <c r="D57" s="13">
        <v>6786</v>
      </c>
      <c r="E57" s="13">
        <v>2023</v>
      </c>
      <c r="F57" t="s" s="14">
        <v>29</v>
      </c>
      <c r="G57" s="13">
        <v>4</v>
      </c>
      <c r="H57" s="13">
        <v>15</v>
      </c>
      <c r="I57" t="s" s="14">
        <v>133</v>
      </c>
      <c r="J57" t="s" s="14">
        <v>134</v>
      </c>
      <c r="K57" t="s" s="14">
        <f>_xlfn.CONCAT(LEFT(I57,1),". ",J57)</f>
        <v>135</v>
      </c>
      <c r="L57" s="13">
        <v>335.7</v>
      </c>
      <c r="M57" s="13">
        <v>103</v>
      </c>
      <c r="N57" s="13">
        <v>183</v>
      </c>
      <c r="O57" s="13">
        <v>121.5</v>
      </c>
      <c r="P57" s="13">
        <v>111.2</v>
      </c>
      <c r="Q57" s="13">
        <f>P57*4800/SUM(P3:P252)</f>
        <v>35.5292376017765</v>
      </c>
      <c r="R57" s="13">
        <v>191.8725</v>
      </c>
      <c r="S57" s="13">
        <v>1211.201165492960</v>
      </c>
      <c r="T57" s="13">
        <v>-15.8213888888889</v>
      </c>
      <c r="U57" s="13">
        <v>2443.102854381850</v>
      </c>
      <c r="V57" s="13">
        <v>176.051111111111</v>
      </c>
      <c r="W57" s="13">
        <v>0.668554898851997</v>
      </c>
      <c r="X57" s="13">
        <v>219.167925132880</v>
      </c>
      <c r="Y57" s="13">
        <f>X57-O57</f>
        <v>97.667925132880</v>
      </c>
      <c r="Z57" s="13">
        <f>Y57*4800/SUM(Y3:Y252)</f>
        <v>33.0866481171501</v>
      </c>
      <c r="AA57" s="15"/>
      <c r="AB57" s="13">
        <f>_xlfn.XLOOKUP(K57,AF256:AF398,AH256:AH398)</f>
        <v>39</v>
      </c>
    </row>
    <row r="58" ht="20.05" customHeight="1">
      <c r="A58" s="11">
        <v>44</v>
      </c>
      <c r="B58" t="s" s="12">
        <v>75</v>
      </c>
      <c r="C58" s="13">
        <v>356.7</v>
      </c>
      <c r="D58" s="13">
        <v>4881</v>
      </c>
      <c r="E58" s="13">
        <v>2023</v>
      </c>
      <c r="F58" t="s" s="14">
        <v>29</v>
      </c>
      <c r="G58" s="13">
        <v>6</v>
      </c>
      <c r="H58" s="13">
        <v>34.2</v>
      </c>
      <c r="I58" t="s" s="14">
        <v>90</v>
      </c>
      <c r="J58" t="s" s="14">
        <v>91</v>
      </c>
      <c r="K58" t="s" s="14">
        <f>_xlfn.CONCAT(LEFT(I58,1),". ",J58)</f>
        <v>136</v>
      </c>
      <c r="L58" s="13">
        <v>338.22</v>
      </c>
      <c r="M58" s="13">
        <v>-18.48</v>
      </c>
      <c r="N58" s="13">
        <v>332.28</v>
      </c>
      <c r="O58" s="13">
        <v>253.94</v>
      </c>
      <c r="P58" s="13">
        <v>102.76</v>
      </c>
      <c r="Q58" s="13">
        <f>P58*4800/SUM(P3:P252)</f>
        <v>32.8325940284042</v>
      </c>
      <c r="R58" s="13">
        <v>331.717272727273</v>
      </c>
      <c r="S58" s="13">
        <v>1529.024316017320</v>
      </c>
      <c r="T58" s="13">
        <v>-42.8909090909091</v>
      </c>
      <c r="U58" s="16">
        <v>5503.577170562770</v>
      </c>
      <c r="V58" s="13">
        <v>276.810434782609</v>
      </c>
      <c r="W58" s="13">
        <v>0.782580554445596</v>
      </c>
      <c r="X58" s="13">
        <v>351.268269287927</v>
      </c>
      <c r="Y58" s="13">
        <f>X58-O58</f>
        <v>97.328269287927</v>
      </c>
      <c r="Z58" s="13">
        <f>Y58*4800/SUM(Y3:Y252)</f>
        <v>32.9715840016013</v>
      </c>
      <c r="AA58" s="15"/>
      <c r="AB58" s="13">
        <f>_xlfn.XLOOKUP(K58,AF256:AF398,AH256:AH398)</f>
        <v>28</v>
      </c>
    </row>
    <row r="59" ht="8.35" customHeight="1" hidden="1">
      <c r="A59" s="11">
        <v>92</v>
      </c>
      <c r="B59" t="s" s="12">
        <v>46</v>
      </c>
      <c r="C59" s="13">
        <v>231.8</v>
      </c>
      <c r="D59" s="13">
        <v>2133</v>
      </c>
      <c r="E59" s="13">
        <v>2022</v>
      </c>
      <c r="F59" t="s" s="14">
        <v>29</v>
      </c>
      <c r="G59" s="13">
        <v>10</v>
      </c>
      <c r="H59" s="13">
        <v>12.9</v>
      </c>
      <c r="I59" t="s" s="14">
        <v>119</v>
      </c>
      <c r="J59" t="s" s="14">
        <v>120</v>
      </c>
      <c r="K59" s="15"/>
      <c r="L59" s="13">
        <v>285.5</v>
      </c>
      <c r="M59" s="13">
        <v>53.7</v>
      </c>
      <c r="N59" s="13">
        <v>183</v>
      </c>
      <c r="O59" s="13">
        <v>121.5</v>
      </c>
      <c r="P59" s="13">
        <v>110.3</v>
      </c>
      <c r="Q59" s="15"/>
      <c r="R59" s="13">
        <v>191.8725</v>
      </c>
      <c r="S59" s="13">
        <v>1211.201165492960</v>
      </c>
      <c r="T59" s="13">
        <v>-15.8213888888889</v>
      </c>
      <c r="U59" s="13">
        <v>2443.102854381850</v>
      </c>
      <c r="V59" s="13">
        <v>176.051111111111</v>
      </c>
      <c r="W59" s="13">
        <v>0.668554898851997</v>
      </c>
      <c r="X59" s="13">
        <v>218.566225723913</v>
      </c>
      <c r="Y59" s="13">
        <f>X59-O59</f>
        <v>97.06622572391301</v>
      </c>
      <c r="Z59" s="13">
        <f>Y59*4800/SUM(Y3:Y252)</f>
        <v>32.8828123482454</v>
      </c>
      <c r="AA59" s="15"/>
      <c r="AB59" s="15"/>
    </row>
    <row r="60" ht="20.05" customHeight="1">
      <c r="A60" s="11">
        <v>76</v>
      </c>
      <c r="B60" t="s" s="12">
        <v>28</v>
      </c>
      <c r="C60" s="13">
        <v>179.9</v>
      </c>
      <c r="D60" s="13">
        <v>6790</v>
      </c>
      <c r="E60" s="13">
        <v>2023</v>
      </c>
      <c r="F60" t="s" s="14">
        <v>29</v>
      </c>
      <c r="G60" s="13">
        <v>4</v>
      </c>
      <c r="H60" s="13">
        <v>64.5</v>
      </c>
      <c r="I60" t="s" s="14">
        <v>67</v>
      </c>
      <c r="J60" t="s" s="14">
        <v>68</v>
      </c>
      <c r="K60" t="s" s="14">
        <f>_xlfn.CONCAT(LEFT(I60,1),". ",J60)</f>
        <v>137</v>
      </c>
      <c r="L60" s="13">
        <v>179.8</v>
      </c>
      <c r="M60" s="13">
        <v>-0.0999999999999943</v>
      </c>
      <c r="N60" s="13">
        <v>213.8</v>
      </c>
      <c r="O60" s="13">
        <v>96.40000000000001</v>
      </c>
      <c r="P60" s="13">
        <v>83.5</v>
      </c>
      <c r="Q60" s="13">
        <f>P60*4800/SUM(P3:P252)</f>
        <v>26.6788789545714</v>
      </c>
      <c r="R60" s="13">
        <v>213.208888888889</v>
      </c>
      <c r="S60" s="16">
        <v>1627.093555555560</v>
      </c>
      <c r="T60" s="13">
        <v>-26.4791111111111</v>
      </c>
      <c r="U60" s="16">
        <v>2651.024017373740</v>
      </c>
      <c r="V60" s="13">
        <v>176.409166666667</v>
      </c>
      <c r="W60" s="13">
        <v>0.619670678091846</v>
      </c>
      <c r="X60" s="13">
        <v>192.568347124625</v>
      </c>
      <c r="Y60" s="13">
        <f>X60-O60</f>
        <v>96.168347124625</v>
      </c>
      <c r="Z60" s="13">
        <f>Y60*4800/SUM(Y3:Y252)</f>
        <v>32.5786409099134</v>
      </c>
      <c r="AA60" s="15"/>
      <c r="AB60" s="13">
        <f>_xlfn.XLOOKUP(K60,AF256:AF398,AH256:AH398)</f>
        <v>13</v>
      </c>
    </row>
    <row r="61" ht="20.05" customHeight="1">
      <c r="A61" s="11">
        <v>73</v>
      </c>
      <c r="B61" t="s" s="12">
        <v>28</v>
      </c>
      <c r="C61" s="13">
        <v>178.8</v>
      </c>
      <c r="D61" s="13">
        <v>5987</v>
      </c>
      <c r="E61" s="13">
        <v>2023</v>
      </c>
      <c r="F61" t="s" s="14">
        <v>29</v>
      </c>
      <c r="G61" s="13">
        <v>5</v>
      </c>
      <c r="H61" s="13">
        <v>53.6</v>
      </c>
      <c r="I61" t="s" s="14">
        <v>138</v>
      </c>
      <c r="J61" t="s" s="14">
        <v>139</v>
      </c>
      <c r="K61" t="s" s="14">
        <f>_xlfn.CONCAT(LEFT(I61,1),". ",J61)</f>
        <v>140</v>
      </c>
      <c r="L61" s="13">
        <v>118.2</v>
      </c>
      <c r="M61" s="13">
        <v>-60.6</v>
      </c>
      <c r="N61" s="13">
        <v>213.8</v>
      </c>
      <c r="O61" s="13">
        <v>96.40000000000001</v>
      </c>
      <c r="P61" s="13">
        <v>82.40000000000001</v>
      </c>
      <c r="Q61" s="13">
        <f>P61*4800/SUM(P3:P252)</f>
        <v>26.3274206689423</v>
      </c>
      <c r="R61" s="13">
        <v>213.208888888889</v>
      </c>
      <c r="S61" s="16">
        <v>1627.093555555560</v>
      </c>
      <c r="T61" s="13">
        <v>-26.4791111111111</v>
      </c>
      <c r="U61" s="16">
        <v>2651.024017373740</v>
      </c>
      <c r="V61" s="13">
        <v>176.409166666667</v>
      </c>
      <c r="W61" s="13">
        <v>0.619670678091846</v>
      </c>
      <c r="X61" s="13">
        <v>191.886709378724</v>
      </c>
      <c r="Y61" s="13">
        <f>X61-O61</f>
        <v>95.486709378724</v>
      </c>
      <c r="Z61" s="13">
        <f>Y61*4800/SUM(Y3:Y252)</f>
        <v>32.3477246883258</v>
      </c>
      <c r="AA61" s="15"/>
      <c r="AB61" s="13">
        <f>_xlfn.XLOOKUP(K61,AF256:AF398,AH256:AH398)</f>
        <v>18</v>
      </c>
    </row>
    <row r="62" ht="8.35" customHeight="1" hidden="1">
      <c r="A62" s="11">
        <v>75</v>
      </c>
      <c r="B62" t="s" s="12">
        <v>28</v>
      </c>
      <c r="C62" s="13">
        <v>178.4</v>
      </c>
      <c r="D62" s="13">
        <v>6828</v>
      </c>
      <c r="E62" s="13">
        <v>2022</v>
      </c>
      <c r="F62" t="s" s="14">
        <v>29</v>
      </c>
      <c r="G62" s="13">
        <v>4</v>
      </c>
      <c r="H62" s="13">
        <v>54.2</v>
      </c>
      <c r="I62" t="s" s="14">
        <v>141</v>
      </c>
      <c r="J62" t="s" s="14">
        <v>142</v>
      </c>
      <c r="K62" s="15"/>
      <c r="L62" s="13">
        <v>153.6</v>
      </c>
      <c r="M62" s="13">
        <v>-24.8</v>
      </c>
      <c r="N62" s="13">
        <v>213.8</v>
      </c>
      <c r="O62" s="13">
        <v>96.40000000000001</v>
      </c>
      <c r="P62" s="13">
        <v>82</v>
      </c>
      <c r="Q62" s="15"/>
      <c r="R62" s="13">
        <v>213.208888888889</v>
      </c>
      <c r="S62" s="16">
        <v>1627.093555555560</v>
      </c>
      <c r="T62" s="13">
        <v>-26.4791111111111</v>
      </c>
      <c r="U62" s="16">
        <v>2651.024017373740</v>
      </c>
      <c r="V62" s="13">
        <v>176.409166666667</v>
      </c>
      <c r="W62" s="13">
        <v>0.619670678091846</v>
      </c>
      <c r="X62" s="13">
        <v>191.638841107487</v>
      </c>
      <c r="Y62" s="13">
        <f>X62-O62</f>
        <v>95.238841107487</v>
      </c>
      <c r="Z62" s="13">
        <f>Y62*4800/SUM(Y3:Y252)</f>
        <v>32.2637551532029</v>
      </c>
      <c r="AA62" s="15"/>
      <c r="AB62" s="15"/>
    </row>
    <row r="63" ht="20.05" customHeight="1">
      <c r="A63" s="11">
        <v>69</v>
      </c>
      <c r="B63" t="s" s="12">
        <v>28</v>
      </c>
      <c r="C63" s="13">
        <v>178.3</v>
      </c>
      <c r="D63" s="13">
        <v>6813</v>
      </c>
      <c r="E63" s="13">
        <v>2023</v>
      </c>
      <c r="F63" t="s" s="14">
        <v>29</v>
      </c>
      <c r="G63" s="13">
        <v>4</v>
      </c>
      <c r="H63" s="13">
        <v>43.5</v>
      </c>
      <c r="I63" t="s" s="14">
        <v>52</v>
      </c>
      <c r="J63" t="s" s="14">
        <v>53</v>
      </c>
      <c r="K63" t="s" s="14">
        <f>_xlfn.CONCAT(LEFT(I63,1),". ",J63)</f>
        <v>143</v>
      </c>
      <c r="L63" s="13">
        <v>146.9</v>
      </c>
      <c r="M63" s="13">
        <v>-31.4</v>
      </c>
      <c r="N63" s="13">
        <v>213.8</v>
      </c>
      <c r="O63" s="13">
        <v>96.40000000000001</v>
      </c>
      <c r="P63" s="13">
        <v>81.90000000000001</v>
      </c>
      <c r="Q63" s="13">
        <f>P63*4800/SUM(P3:P252)</f>
        <v>26.1676669027472</v>
      </c>
      <c r="R63" s="13">
        <v>213.208888888889</v>
      </c>
      <c r="S63" s="16">
        <v>1627.093555555560</v>
      </c>
      <c r="T63" s="13">
        <v>-26.4791111111111</v>
      </c>
      <c r="U63" s="16">
        <v>2651.024017373740</v>
      </c>
      <c r="V63" s="13">
        <v>176.409166666667</v>
      </c>
      <c r="W63" s="13">
        <v>0.619670678091846</v>
      </c>
      <c r="X63" s="13">
        <v>191.576874039678</v>
      </c>
      <c r="Y63" s="13">
        <f>X63-O63</f>
        <v>95.176874039678</v>
      </c>
      <c r="Z63" s="13">
        <f>Y63*4800/SUM(Y3:Y252)</f>
        <v>32.2427627694222</v>
      </c>
      <c r="AA63" s="15"/>
      <c r="AB63" s="13">
        <f>_xlfn.XLOOKUP(K63,AF256:AF398,AH256:AH398)</f>
        <v>31</v>
      </c>
    </row>
    <row r="64" ht="20.05" customHeight="1">
      <c r="A64" s="11">
        <v>75</v>
      </c>
      <c r="B64" t="s" s="12">
        <v>28</v>
      </c>
      <c r="C64" s="13">
        <v>178.2</v>
      </c>
      <c r="D64" s="13">
        <v>4137</v>
      </c>
      <c r="E64" s="13">
        <v>2023</v>
      </c>
      <c r="F64" t="s" s="14">
        <v>29</v>
      </c>
      <c r="G64" s="13">
        <v>7</v>
      </c>
      <c r="H64" s="13">
        <v>62.6</v>
      </c>
      <c r="I64" t="s" s="14">
        <v>95</v>
      </c>
      <c r="J64" t="s" s="14">
        <v>96</v>
      </c>
      <c r="K64" t="s" s="14">
        <f>_xlfn.CONCAT(LEFT(I64,1),". ",J64)</f>
        <v>144</v>
      </c>
      <c r="L64" s="13">
        <v>188</v>
      </c>
      <c r="M64" s="13">
        <v>9.80000000000001</v>
      </c>
      <c r="N64" s="13">
        <v>213.8</v>
      </c>
      <c r="O64" s="13">
        <v>96.40000000000001</v>
      </c>
      <c r="P64" s="13">
        <v>81.8</v>
      </c>
      <c r="Q64" s="13">
        <f>P64*4800/SUM(P3:P252)</f>
        <v>26.1357161495082</v>
      </c>
      <c r="R64" s="13">
        <v>213.208888888889</v>
      </c>
      <c r="S64" s="16">
        <v>1627.093555555560</v>
      </c>
      <c r="T64" s="13">
        <v>-26.4791111111111</v>
      </c>
      <c r="U64" s="16">
        <v>2651.024017373740</v>
      </c>
      <c r="V64" s="13">
        <v>176.409166666667</v>
      </c>
      <c r="W64" s="13">
        <v>0.619670678091846</v>
      </c>
      <c r="X64" s="16">
        <v>191.514906971869</v>
      </c>
      <c r="Y64" s="13">
        <f>X64-O64</f>
        <v>95.114906971869</v>
      </c>
      <c r="Z64" s="13">
        <f>Y64*4800/SUM(Y3:Y252)</f>
        <v>32.2217703856416</v>
      </c>
      <c r="AA64" s="15"/>
      <c r="AB64" s="13">
        <f>_xlfn.XLOOKUP(K64,AF256:AF398,AH256:AH398)</f>
        <v>13</v>
      </c>
    </row>
    <row r="65" ht="8.35" customHeight="1" hidden="1">
      <c r="A65" s="11">
        <v>77</v>
      </c>
      <c r="B65" t="s" s="12">
        <v>145</v>
      </c>
      <c r="C65" s="13">
        <v>232.9</v>
      </c>
      <c r="D65" s="13">
        <v>1466</v>
      </c>
      <c r="E65" s="13">
        <v>2022</v>
      </c>
      <c r="F65" t="s" s="14">
        <v>29</v>
      </c>
      <c r="G65" s="13">
        <v>11</v>
      </c>
      <c r="H65" s="13">
        <v>15.6</v>
      </c>
      <c r="I65" t="s" s="14">
        <v>77</v>
      </c>
      <c r="J65" t="s" s="14">
        <v>146</v>
      </c>
      <c r="K65" s="15"/>
      <c r="L65" s="13">
        <v>261.3</v>
      </c>
      <c r="M65" s="13">
        <v>28.4</v>
      </c>
      <c r="N65" s="13">
        <v>137.15</v>
      </c>
      <c r="O65" s="13">
        <v>104.6</v>
      </c>
      <c r="P65" s="13">
        <v>128.3</v>
      </c>
      <c r="Q65" s="15"/>
      <c r="R65" s="13">
        <v>143.691666666667</v>
      </c>
      <c r="S65" s="13">
        <v>922.432101449276</v>
      </c>
      <c r="T65" s="13">
        <v>-13.4541666666667</v>
      </c>
      <c r="U65" s="13">
        <v>1365.687807971010</v>
      </c>
      <c r="V65" s="13">
        <v>130.2375</v>
      </c>
      <c r="W65" s="13">
        <v>0.596860244233013</v>
      </c>
      <c r="X65" s="13">
        <v>196.936574287620</v>
      </c>
      <c r="Y65" s="13">
        <f>X65-O65</f>
        <v>92.336574287620</v>
      </c>
      <c r="Z65" s="13">
        <f>Y65*4800/SUM(Y3:Y252)</f>
        <v>31.2805635795069</v>
      </c>
      <c r="AA65" s="15"/>
      <c r="AB65" s="15"/>
    </row>
    <row r="66" ht="20.05" customHeight="1">
      <c r="A66" s="11">
        <v>64</v>
      </c>
      <c r="B66" t="s" s="12">
        <v>28</v>
      </c>
      <c r="C66" s="13">
        <v>171.6</v>
      </c>
      <c r="D66" s="13">
        <v>9221</v>
      </c>
      <c r="E66" s="13">
        <v>2023</v>
      </c>
      <c r="F66" t="s" s="14">
        <v>29</v>
      </c>
      <c r="G66" s="13">
        <v>1</v>
      </c>
      <c r="H66" s="13">
        <v>32.3</v>
      </c>
      <c r="I66" t="s" s="14">
        <v>147</v>
      </c>
      <c r="J66" t="s" s="14">
        <v>148</v>
      </c>
      <c r="K66" t="s" s="14">
        <f>_xlfn.CONCAT(LEFT(I66,1),". ",J66)</f>
        <v>149</v>
      </c>
      <c r="L66" s="13">
        <v>216.1</v>
      </c>
      <c r="M66" s="13">
        <v>44.5</v>
      </c>
      <c r="N66" s="13">
        <v>213.8</v>
      </c>
      <c r="O66" s="13">
        <v>96.40000000000001</v>
      </c>
      <c r="P66" s="13">
        <v>75.2</v>
      </c>
      <c r="Q66" s="13">
        <f>P66*4800/SUM(P3:P252)</f>
        <v>24.0269664357337</v>
      </c>
      <c r="R66" s="13">
        <v>213.208888888889</v>
      </c>
      <c r="S66" s="16">
        <v>1627.093555555560</v>
      </c>
      <c r="T66" s="13">
        <v>-26.4791111111111</v>
      </c>
      <c r="U66" s="16">
        <v>2651.024017373740</v>
      </c>
      <c r="V66" s="13">
        <v>176.409166666667</v>
      </c>
      <c r="W66" s="13">
        <v>0.619670678091846</v>
      </c>
      <c r="X66" s="13">
        <v>187.425080496463</v>
      </c>
      <c r="Y66" s="13">
        <f>X66-O66</f>
        <v>91.025080496463</v>
      </c>
      <c r="Z66" s="13">
        <f>Y66*4800/SUM(Y3:Y252)</f>
        <v>30.8362730561155</v>
      </c>
      <c r="AA66" s="15"/>
      <c r="AB66" s="13">
        <f>_xlfn.XLOOKUP(K66,AF256:AF398,AH256:AH398)</f>
        <v>24</v>
      </c>
    </row>
    <row r="67" ht="8.35" customHeight="1" hidden="1">
      <c r="A67" s="11">
        <v>69</v>
      </c>
      <c r="B67" t="s" s="12">
        <v>28</v>
      </c>
      <c r="C67" s="13">
        <v>171.4</v>
      </c>
      <c r="D67" s="13">
        <v>7543</v>
      </c>
      <c r="E67" s="13">
        <v>2022</v>
      </c>
      <c r="F67" t="s" s="14">
        <v>29</v>
      </c>
      <c r="G67" s="13">
        <v>3</v>
      </c>
      <c r="H67" s="13">
        <v>36.6</v>
      </c>
      <c r="I67" t="s" s="14">
        <v>77</v>
      </c>
      <c r="J67" t="s" s="14">
        <v>78</v>
      </c>
      <c r="K67" s="15"/>
      <c r="L67" s="13">
        <v>186.6</v>
      </c>
      <c r="M67" s="13">
        <v>15.2</v>
      </c>
      <c r="N67" s="13">
        <v>213.8</v>
      </c>
      <c r="O67" s="13">
        <v>96.40000000000001</v>
      </c>
      <c r="P67" s="13">
        <v>75</v>
      </c>
      <c r="Q67" s="15"/>
      <c r="R67" s="13">
        <v>213.208888888889</v>
      </c>
      <c r="S67" s="16">
        <v>1627.093555555560</v>
      </c>
      <c r="T67" s="13">
        <v>-26.4791111111111</v>
      </c>
      <c r="U67" s="16">
        <v>2651.024017373740</v>
      </c>
      <c r="V67" s="13">
        <v>176.409166666667</v>
      </c>
      <c r="W67" s="13">
        <v>0.619670678091846</v>
      </c>
      <c r="X67" s="13">
        <v>187.301146360844</v>
      </c>
      <c r="Y67" s="13">
        <f>X67-O67</f>
        <v>90.901146360844</v>
      </c>
      <c r="Z67" s="13">
        <f>Y67*4800/SUM(Y3:Y252)</f>
        <v>30.7942882885539</v>
      </c>
      <c r="AA67" s="15"/>
      <c r="AB67" s="15"/>
    </row>
    <row r="68" ht="8.35" customHeight="1" hidden="1">
      <c r="A68" s="11">
        <v>45</v>
      </c>
      <c r="B68" t="s" s="12">
        <v>75</v>
      </c>
      <c r="C68" s="13">
        <v>347.74</v>
      </c>
      <c r="D68" s="13">
        <v>5849</v>
      </c>
      <c r="E68" s="13">
        <v>2022</v>
      </c>
      <c r="F68" t="s" s="14">
        <v>29</v>
      </c>
      <c r="G68" s="13">
        <v>5</v>
      </c>
      <c r="H68" s="13">
        <v>55.8</v>
      </c>
      <c r="I68" t="s" s="14">
        <v>150</v>
      </c>
      <c r="J68" t="s" s="14">
        <v>151</v>
      </c>
      <c r="K68" s="15"/>
      <c r="L68" s="13">
        <v>206.52</v>
      </c>
      <c r="M68" s="13">
        <v>-141.22</v>
      </c>
      <c r="N68" s="13">
        <v>332.28</v>
      </c>
      <c r="O68" s="13">
        <v>253.94</v>
      </c>
      <c r="P68" s="13">
        <v>93.8</v>
      </c>
      <c r="Q68" s="15"/>
      <c r="R68" s="13">
        <v>331.717272727273</v>
      </c>
      <c r="S68" s="13">
        <v>1529.024316017320</v>
      </c>
      <c r="T68" s="13">
        <v>-42.8909090909091</v>
      </c>
      <c r="U68" s="16">
        <v>5503.577170562770</v>
      </c>
      <c r="V68" s="13">
        <v>276.810434782609</v>
      </c>
      <c r="W68" s="13">
        <v>0.782580554445596</v>
      </c>
      <c r="X68" s="13">
        <v>344.256347520094</v>
      </c>
      <c r="Y68" s="13">
        <f>X68-O68</f>
        <v>90.316347520094</v>
      </c>
      <c r="Z68" s="13">
        <f>Y68*4800/SUM(Y3:Y252)</f>
        <v>30.5961778706568</v>
      </c>
      <c r="AA68" s="15"/>
      <c r="AB68" s="15"/>
    </row>
    <row r="69" ht="8.35" customHeight="1" hidden="1">
      <c r="A69" s="11">
        <v>25</v>
      </c>
      <c r="B69" t="s" s="12">
        <v>152</v>
      </c>
      <c r="C69" s="13">
        <v>117</v>
      </c>
      <c r="D69" s="13">
        <v>1264</v>
      </c>
      <c r="E69" s="13">
        <v>2022</v>
      </c>
      <c r="F69" t="s" s="14">
        <v>29</v>
      </c>
      <c r="G69" s="13">
        <v>12</v>
      </c>
      <c r="H69" s="13">
        <v>135.2</v>
      </c>
      <c r="I69" t="s" s="14">
        <v>47</v>
      </c>
      <c r="J69" t="s" s="14">
        <v>153</v>
      </c>
      <c r="K69" s="15"/>
      <c r="L69" s="13">
        <v>157</v>
      </c>
      <c r="M69" s="13">
        <v>40</v>
      </c>
      <c r="N69" s="13">
        <v>100.5</v>
      </c>
      <c r="O69" s="13">
        <v>22</v>
      </c>
      <c r="P69" s="13">
        <v>95</v>
      </c>
      <c r="Q69" s="15"/>
      <c r="R69" s="13">
        <v>97.2916666666667</v>
      </c>
      <c r="S69" s="13">
        <v>326.128623188406</v>
      </c>
      <c r="T69" s="13">
        <v>29.375</v>
      </c>
      <c r="U69" s="13">
        <v>713.201086956522</v>
      </c>
      <c r="V69" s="13">
        <v>126.666666666667</v>
      </c>
      <c r="W69" s="13">
        <v>0.686212546408464</v>
      </c>
      <c r="X69" s="13">
        <v>110.8157722688</v>
      </c>
      <c r="Y69" s="13">
        <f>X69-O69</f>
        <v>88.8157722688</v>
      </c>
      <c r="Z69" s="13">
        <f>Y69*4800/SUM(Y3:Y252)</f>
        <v>30.087832830611</v>
      </c>
      <c r="AA69" s="15"/>
      <c r="AB69" s="15"/>
    </row>
    <row r="70" ht="8.35" customHeight="1" hidden="1">
      <c r="A70" s="11">
        <v>26</v>
      </c>
      <c r="B70" t="s" s="12">
        <v>152</v>
      </c>
      <c r="C70" s="13">
        <v>116</v>
      </c>
      <c r="D70" s="13">
        <v>7839</v>
      </c>
      <c r="E70" s="13">
        <v>2022</v>
      </c>
      <c r="F70" t="s" s="14">
        <v>29</v>
      </c>
      <c r="G70" s="13">
        <v>3</v>
      </c>
      <c r="H70" s="13">
        <v>136.2</v>
      </c>
      <c r="I70" t="s" s="14">
        <v>154</v>
      </c>
      <c r="J70" t="s" s="14">
        <v>155</v>
      </c>
      <c r="K70" s="15"/>
      <c r="L70" s="13">
        <v>123</v>
      </c>
      <c r="M70" s="13">
        <v>7</v>
      </c>
      <c r="N70" s="13">
        <v>100.5</v>
      </c>
      <c r="O70" s="13">
        <v>22</v>
      </c>
      <c r="P70" s="13">
        <v>94</v>
      </c>
      <c r="Q70" s="15"/>
      <c r="R70" s="13">
        <v>97.2916666666667</v>
      </c>
      <c r="S70" s="13">
        <v>326.128623188406</v>
      </c>
      <c r="T70" s="13">
        <v>29.375</v>
      </c>
      <c r="U70" s="13">
        <v>713.201086956522</v>
      </c>
      <c r="V70" s="13">
        <v>126.666666666667</v>
      </c>
      <c r="W70" s="13">
        <v>0.686212546408464</v>
      </c>
      <c r="X70" s="13">
        <v>110.129559722392</v>
      </c>
      <c r="Y70" s="13">
        <f>X70-O70</f>
        <v>88.129559722392</v>
      </c>
      <c r="Z70" s="13">
        <f>Y70*4800/SUM(Y3:Y252)</f>
        <v>29.8553668186046</v>
      </c>
      <c r="AA70" s="15"/>
      <c r="AB70" s="15"/>
    </row>
    <row r="71" ht="8.35" customHeight="1" hidden="1">
      <c r="A71" s="11">
        <v>98</v>
      </c>
      <c r="B71" t="s" s="12">
        <v>46</v>
      </c>
      <c r="C71" s="13">
        <v>215</v>
      </c>
      <c r="D71" s="13">
        <v>5859</v>
      </c>
      <c r="E71" s="13">
        <v>2022</v>
      </c>
      <c r="F71" t="s" s="14">
        <v>29</v>
      </c>
      <c r="G71" s="13">
        <v>5</v>
      </c>
      <c r="H71" s="13">
        <v>27.7</v>
      </c>
      <c r="I71" t="s" s="14">
        <v>124</v>
      </c>
      <c r="J71" t="s" s="14">
        <v>125</v>
      </c>
      <c r="K71" s="15"/>
      <c r="L71" s="13">
        <v>255.6</v>
      </c>
      <c r="M71" s="13">
        <v>40.6</v>
      </c>
      <c r="N71" s="13">
        <v>183</v>
      </c>
      <c r="O71" s="13">
        <v>121.5</v>
      </c>
      <c r="P71" s="13">
        <v>93.5</v>
      </c>
      <c r="Q71" s="15"/>
      <c r="R71" s="13">
        <v>191.8725</v>
      </c>
      <c r="S71" s="13">
        <v>1211.201165492960</v>
      </c>
      <c r="T71" s="13">
        <v>-15.8213888888889</v>
      </c>
      <c r="U71" s="13">
        <v>2443.102854381850</v>
      </c>
      <c r="V71" s="13">
        <v>176.051111111111</v>
      </c>
      <c r="W71" s="13">
        <v>0.668554898851997</v>
      </c>
      <c r="X71" s="13">
        <v>207.3345034232</v>
      </c>
      <c r="Y71" s="13">
        <f>X71-O71</f>
        <v>85.8345034232</v>
      </c>
      <c r="Z71" s="13">
        <f>Y71*4800/SUM(Y3:Y252)</f>
        <v>29.0778779953589</v>
      </c>
      <c r="AA71" s="15"/>
      <c r="AB71" s="15"/>
    </row>
    <row r="72" ht="20.05" customHeight="1">
      <c r="A72" s="11">
        <v>25</v>
      </c>
      <c r="B72" t="s" s="12">
        <v>152</v>
      </c>
      <c r="C72" s="13">
        <v>111</v>
      </c>
      <c r="D72" s="13">
        <v>1264</v>
      </c>
      <c r="E72" s="13">
        <v>2023</v>
      </c>
      <c r="F72" t="s" s="14">
        <v>29</v>
      </c>
      <c r="G72" s="13">
        <v>12</v>
      </c>
      <c r="H72" s="13">
        <v>136.4</v>
      </c>
      <c r="I72" t="s" s="14">
        <v>47</v>
      </c>
      <c r="J72" t="s" s="14">
        <v>153</v>
      </c>
      <c r="K72" t="s" s="14">
        <f>_xlfn.CONCAT(LEFT(I72,1),". ",J72)</f>
        <v>156</v>
      </c>
      <c r="L72" s="13">
        <v>154</v>
      </c>
      <c r="M72" s="13">
        <v>43</v>
      </c>
      <c r="N72" s="13">
        <v>100.5</v>
      </c>
      <c r="O72" s="13">
        <v>22</v>
      </c>
      <c r="P72" s="13">
        <v>89</v>
      </c>
      <c r="Q72" s="13">
        <f>P72*4800/SUM(P3:P252)</f>
        <v>28.4361703827168</v>
      </c>
      <c r="R72" s="13">
        <v>97.2916666666667</v>
      </c>
      <c r="S72" s="13">
        <v>326.128623188406</v>
      </c>
      <c r="T72" s="13">
        <v>29.375</v>
      </c>
      <c r="U72" s="13">
        <v>713.201086956522</v>
      </c>
      <c r="V72" s="13">
        <v>126.666666666667</v>
      </c>
      <c r="W72" s="13">
        <v>0.686212546408464</v>
      </c>
      <c r="X72" s="13">
        <v>106.698496990349</v>
      </c>
      <c r="Y72" s="13">
        <f>X72-O72</f>
        <v>84.698496990349</v>
      </c>
      <c r="Z72" s="13">
        <f>Y72*4800/SUM(Y3:Y252)</f>
        <v>28.6930367585719</v>
      </c>
      <c r="AA72" s="15"/>
      <c r="AB72" s="13">
        <f>_xlfn.XLOOKUP(K72,AF256:AF398,AH256:AH398)</f>
        <v>4</v>
      </c>
    </row>
    <row r="73" ht="20.05" customHeight="1">
      <c r="A73" s="11">
        <v>97</v>
      </c>
      <c r="B73" t="s" s="12">
        <v>46</v>
      </c>
      <c r="C73" s="13">
        <v>212.9</v>
      </c>
      <c r="D73" s="13">
        <v>7547</v>
      </c>
      <c r="E73" s="13">
        <v>2023</v>
      </c>
      <c r="F73" t="s" s="14">
        <v>29</v>
      </c>
      <c r="G73" s="13">
        <v>3</v>
      </c>
      <c r="H73" s="13">
        <v>17.5</v>
      </c>
      <c r="I73" t="s" s="14">
        <v>157</v>
      </c>
      <c r="J73" t="s" s="14">
        <v>158</v>
      </c>
      <c r="K73" t="s" s="14">
        <v>126</v>
      </c>
      <c r="L73" s="13">
        <v>272.4</v>
      </c>
      <c r="M73" s="13">
        <v>59.5</v>
      </c>
      <c r="N73" s="13">
        <v>183</v>
      </c>
      <c r="O73" s="13">
        <v>121.5</v>
      </c>
      <c r="P73" s="13">
        <v>91.40000000000001</v>
      </c>
      <c r="Q73" s="13">
        <f>P73*4800/SUM(P3:P252)</f>
        <v>29.202988460453</v>
      </c>
      <c r="R73" s="13">
        <v>191.8725</v>
      </c>
      <c r="S73" s="13">
        <v>1211.201165492960</v>
      </c>
      <c r="T73" s="13">
        <v>-15.8213888888889</v>
      </c>
      <c r="U73" s="13">
        <v>2443.102854381850</v>
      </c>
      <c r="V73" s="13">
        <v>176.051111111111</v>
      </c>
      <c r="W73" s="13">
        <v>0.668554898851997</v>
      </c>
      <c r="X73" s="13">
        <v>205.930538135610</v>
      </c>
      <c r="Y73" s="13">
        <f>X73-O73</f>
        <v>84.43053813561001</v>
      </c>
      <c r="Z73" s="13">
        <f>Y73*4800/SUM(Y3:Y252)</f>
        <v>28.6022612012478</v>
      </c>
      <c r="AA73" s="15"/>
      <c r="AB73" s="13">
        <f>_xlfn.XLOOKUP(K73,AF256:AF398,AH256:AH398)</f>
        <v>40</v>
      </c>
    </row>
    <row r="74" ht="20.05" customHeight="1">
      <c r="A74" s="11">
        <v>29</v>
      </c>
      <c r="B74" t="s" s="12">
        <v>152</v>
      </c>
      <c r="C74" s="13">
        <v>109</v>
      </c>
      <c r="D74" s="13">
        <v>7042</v>
      </c>
      <c r="E74" s="13">
        <v>2023</v>
      </c>
      <c r="F74" t="s" s="14">
        <v>29</v>
      </c>
      <c r="G74" s="13">
        <v>4</v>
      </c>
      <c r="H74" s="13">
        <v>140.7</v>
      </c>
      <c r="I74" t="s" s="14">
        <v>159</v>
      </c>
      <c r="J74" t="s" s="14">
        <v>160</v>
      </c>
      <c r="K74" t="s" s="14">
        <f>_xlfn.CONCAT(LEFT(I74,1),". ",J74)</f>
        <v>161</v>
      </c>
      <c r="L74" s="13">
        <v>127</v>
      </c>
      <c r="M74" s="13">
        <v>18</v>
      </c>
      <c r="N74" s="13">
        <v>100.5</v>
      </c>
      <c r="O74" s="13">
        <v>22</v>
      </c>
      <c r="P74" s="13">
        <v>87</v>
      </c>
      <c r="Q74" s="13">
        <f>P74*4800/SUM(P3:P252)</f>
        <v>27.7971553179366</v>
      </c>
      <c r="R74" s="13">
        <v>97.2916666666667</v>
      </c>
      <c r="S74" s="13">
        <v>326.128623188406</v>
      </c>
      <c r="T74" s="13">
        <v>29.375</v>
      </c>
      <c r="U74" s="13">
        <v>713.201086956522</v>
      </c>
      <c r="V74" s="13">
        <v>126.666666666667</v>
      </c>
      <c r="W74" s="13">
        <v>0.686212546408464</v>
      </c>
      <c r="X74" s="13">
        <v>105.326071897532</v>
      </c>
      <c r="Y74" s="13">
        <f>X74-O74</f>
        <v>83.326071897532</v>
      </c>
      <c r="Z74" s="13">
        <f>Y74*4800/SUM(Y3:Y252)</f>
        <v>28.2281047345588</v>
      </c>
      <c r="AA74" s="15"/>
      <c r="AB74" s="13">
        <f>_xlfn.XLOOKUP(K74,AF256:AF398,AH256:AH398)</f>
        <v>1</v>
      </c>
    </row>
    <row r="75" ht="8.35" customHeight="1" hidden="1">
      <c r="A75" s="11">
        <v>94</v>
      </c>
      <c r="B75" t="s" s="12">
        <v>46</v>
      </c>
      <c r="C75" s="13">
        <v>211.1</v>
      </c>
      <c r="D75" s="13">
        <v>6786</v>
      </c>
      <c r="E75" s="13">
        <v>2022</v>
      </c>
      <c r="F75" t="s" s="14">
        <v>29</v>
      </c>
      <c r="G75" s="13">
        <v>4</v>
      </c>
      <c r="H75" s="13">
        <v>19.9</v>
      </c>
      <c r="I75" t="s" s="14">
        <v>133</v>
      </c>
      <c r="J75" t="s" s="14">
        <v>134</v>
      </c>
      <c r="K75" s="15"/>
      <c r="L75" s="13">
        <v>248.1</v>
      </c>
      <c r="M75" s="13">
        <v>37</v>
      </c>
      <c r="N75" s="13">
        <v>183</v>
      </c>
      <c r="O75" s="13">
        <v>121.5</v>
      </c>
      <c r="P75" s="13">
        <v>89.59999999999999</v>
      </c>
      <c r="Q75" s="15"/>
      <c r="R75" s="13">
        <v>191.8725</v>
      </c>
      <c r="S75" s="13">
        <v>1211.201165492960</v>
      </c>
      <c r="T75" s="13">
        <v>-15.8213888888889</v>
      </c>
      <c r="U75" s="13">
        <v>2443.102854381850</v>
      </c>
      <c r="V75" s="13">
        <v>176.051111111111</v>
      </c>
      <c r="W75" s="13">
        <v>0.668554898851997</v>
      </c>
      <c r="X75" s="13">
        <v>204.727139317677</v>
      </c>
      <c r="Y75" s="13">
        <f>X75-O75</f>
        <v>83.227139317677</v>
      </c>
      <c r="Z75" s="13">
        <f>Y75*4800/SUM(Y3:Y252)</f>
        <v>28.1945896634387</v>
      </c>
      <c r="AA75" s="15"/>
      <c r="AB75" s="15"/>
    </row>
    <row r="76" ht="8.35" customHeight="1" hidden="1">
      <c r="A76" s="11">
        <v>28</v>
      </c>
      <c r="B76" t="s" s="12">
        <v>152</v>
      </c>
      <c r="C76" s="13">
        <v>107</v>
      </c>
      <c r="D76" s="13">
        <v>5095</v>
      </c>
      <c r="E76" s="13">
        <v>2022</v>
      </c>
      <c r="F76" t="s" s="14">
        <v>29</v>
      </c>
      <c r="G76" s="13">
        <v>6</v>
      </c>
      <c r="H76" s="13">
        <v>139.7</v>
      </c>
      <c r="I76" t="s" s="14">
        <v>162</v>
      </c>
      <c r="J76" t="s" s="14">
        <v>163</v>
      </c>
      <c r="K76" s="15"/>
      <c r="L76" s="13">
        <v>158</v>
      </c>
      <c r="M76" s="13">
        <v>51</v>
      </c>
      <c r="N76" s="13">
        <v>100.5</v>
      </c>
      <c r="O76" s="13">
        <v>22</v>
      </c>
      <c r="P76" s="13">
        <v>85</v>
      </c>
      <c r="Q76" s="15"/>
      <c r="R76" s="13">
        <v>97.2916666666667</v>
      </c>
      <c r="S76" s="13">
        <v>326.128623188406</v>
      </c>
      <c r="T76" s="13">
        <v>29.375</v>
      </c>
      <c r="U76" s="13">
        <v>713.201086956522</v>
      </c>
      <c r="V76" s="13">
        <v>126.666666666667</v>
      </c>
      <c r="W76" s="13">
        <v>0.686212546408464</v>
      </c>
      <c r="X76" s="13">
        <v>103.953646804716</v>
      </c>
      <c r="Y76" s="13">
        <f>X76-O76</f>
        <v>81.953646804716</v>
      </c>
      <c r="Z76" s="13">
        <f>Y76*4800/SUM(Y3:Y252)</f>
        <v>27.7631727105461</v>
      </c>
      <c r="AA76" s="15"/>
      <c r="AB76" s="15"/>
    </row>
    <row r="77" ht="20.05" customHeight="1">
      <c r="A77" s="11">
        <v>26</v>
      </c>
      <c r="B77" t="s" s="12">
        <v>152</v>
      </c>
      <c r="C77" s="13">
        <v>107</v>
      </c>
      <c r="D77" s="13">
        <v>7839</v>
      </c>
      <c r="E77" s="13">
        <v>2023</v>
      </c>
      <c r="F77" t="s" s="14">
        <v>29</v>
      </c>
      <c r="G77" s="13">
        <v>3</v>
      </c>
      <c r="H77" s="13">
        <v>137.4</v>
      </c>
      <c r="I77" t="s" s="14">
        <v>154</v>
      </c>
      <c r="J77" t="s" s="14">
        <v>155</v>
      </c>
      <c r="K77" t="s" s="14">
        <f>_xlfn.CONCAT(LEFT(I77,1),". ",J77)</f>
        <v>164</v>
      </c>
      <c r="L77" s="13">
        <v>135</v>
      </c>
      <c r="M77" s="13">
        <v>28</v>
      </c>
      <c r="N77" s="13">
        <v>100.5</v>
      </c>
      <c r="O77" s="13">
        <v>22</v>
      </c>
      <c r="P77" s="13">
        <v>85</v>
      </c>
      <c r="Q77" s="13">
        <f>P77*4800/SUM(P3:P252)</f>
        <v>27.1581402531565</v>
      </c>
      <c r="R77" s="13">
        <v>97.2916666666667</v>
      </c>
      <c r="S77" s="13">
        <v>326.128623188406</v>
      </c>
      <c r="T77" s="13">
        <v>29.375</v>
      </c>
      <c r="U77" s="13">
        <v>713.201086956522</v>
      </c>
      <c r="V77" s="13">
        <v>126.666666666667</v>
      </c>
      <c r="W77" s="13">
        <v>0.686212546408464</v>
      </c>
      <c r="X77" s="13">
        <v>103.953646804716</v>
      </c>
      <c r="Y77" s="13">
        <f>X77-O77</f>
        <v>81.953646804716</v>
      </c>
      <c r="Z77" s="13">
        <f>Y77*4800/SUM(Y3:Y252)</f>
        <v>27.7631727105461</v>
      </c>
      <c r="AA77" s="15"/>
      <c r="AB77" s="13">
        <f>_xlfn.XLOOKUP(K77,AF256:AF398,AH256:AH398)</f>
        <v>1</v>
      </c>
    </row>
    <row r="78" ht="8.35" customHeight="1" hidden="1">
      <c r="A78" s="11">
        <v>43</v>
      </c>
      <c r="B78" t="s" s="12">
        <v>75</v>
      </c>
      <c r="C78" s="13">
        <v>336.54</v>
      </c>
      <c r="D78" s="13">
        <v>6797</v>
      </c>
      <c r="E78" s="13">
        <v>2022</v>
      </c>
      <c r="F78" t="s" s="14">
        <v>29</v>
      </c>
      <c r="G78" s="13">
        <v>4</v>
      </c>
      <c r="H78" s="13">
        <v>34.5</v>
      </c>
      <c r="I78" t="s" s="14">
        <v>47</v>
      </c>
      <c r="J78" t="s" s="14">
        <v>165</v>
      </c>
      <c r="K78" s="15"/>
      <c r="L78" s="13">
        <v>289.26</v>
      </c>
      <c r="M78" s="13">
        <v>-47.28</v>
      </c>
      <c r="N78" s="13">
        <v>332.28</v>
      </c>
      <c r="O78" s="13">
        <v>253.94</v>
      </c>
      <c r="P78" s="13">
        <v>82.59999999999999</v>
      </c>
      <c r="Q78" s="15"/>
      <c r="R78" s="13">
        <v>331.717272727273</v>
      </c>
      <c r="S78" s="13">
        <v>1529.024316017320</v>
      </c>
      <c r="T78" s="13">
        <v>-42.8909090909091</v>
      </c>
      <c r="U78" s="16">
        <v>5503.577170562770</v>
      </c>
      <c r="V78" s="13">
        <v>276.810434782609</v>
      </c>
      <c r="W78" s="13">
        <v>0.782580554445596</v>
      </c>
      <c r="X78" s="13">
        <v>335.491445310304</v>
      </c>
      <c r="Y78" s="13">
        <f>X78-O78</f>
        <v>81.551445310304</v>
      </c>
      <c r="Z78" s="13">
        <f>Y78*4800/SUM(Y3:Y252)</f>
        <v>27.6269202069766</v>
      </c>
      <c r="AA78" s="15"/>
      <c r="AB78" s="15"/>
    </row>
    <row r="79" ht="8.35" customHeight="1" hidden="1">
      <c r="A79" s="11">
        <v>31</v>
      </c>
      <c r="B79" t="s" s="12">
        <v>152</v>
      </c>
      <c r="C79" s="13">
        <v>105</v>
      </c>
      <c r="D79" s="13">
        <v>17</v>
      </c>
      <c r="E79" s="13">
        <v>2022</v>
      </c>
      <c r="F79" t="s" s="14">
        <v>29</v>
      </c>
      <c r="G79" s="13">
        <v>18</v>
      </c>
      <c r="H79" s="13">
        <v>159.6</v>
      </c>
      <c r="I79" t="s" s="14">
        <v>166</v>
      </c>
      <c r="J79" t="s" s="14">
        <v>167</v>
      </c>
      <c r="K79" s="15"/>
      <c r="L79" s="13">
        <v>95</v>
      </c>
      <c r="M79" s="13">
        <v>-10</v>
      </c>
      <c r="N79" s="13">
        <v>100.5</v>
      </c>
      <c r="O79" s="13">
        <v>22</v>
      </c>
      <c r="P79" s="13">
        <v>83</v>
      </c>
      <c r="Q79" s="15"/>
      <c r="R79" s="13">
        <v>97.2916666666667</v>
      </c>
      <c r="S79" s="13">
        <v>326.128623188406</v>
      </c>
      <c r="T79" s="13">
        <v>29.375</v>
      </c>
      <c r="U79" s="13">
        <v>713.201086956522</v>
      </c>
      <c r="V79" s="13">
        <v>126.666666666667</v>
      </c>
      <c r="W79" s="13">
        <v>0.686212546408464</v>
      </c>
      <c r="X79" s="13">
        <v>102.581221711899</v>
      </c>
      <c r="Y79" s="13">
        <f>X79-O79</f>
        <v>80.581221711899</v>
      </c>
      <c r="Z79" s="13">
        <f>Y79*4800/SUM(Y3:Y252)</f>
        <v>27.2982406865331</v>
      </c>
      <c r="AA79" s="15"/>
      <c r="AB79" s="15"/>
    </row>
    <row r="80" ht="20.05" customHeight="1">
      <c r="A80" s="11">
        <v>27</v>
      </c>
      <c r="B80" t="s" s="12">
        <v>152</v>
      </c>
      <c r="C80" s="13">
        <v>105</v>
      </c>
      <c r="D80" s="13">
        <v>4227</v>
      </c>
      <c r="E80" s="13">
        <v>2023</v>
      </c>
      <c r="F80" t="s" s="14">
        <v>29</v>
      </c>
      <c r="G80" s="13">
        <v>7</v>
      </c>
      <c r="H80" s="13">
        <v>138.6</v>
      </c>
      <c r="I80" t="s" s="14">
        <v>168</v>
      </c>
      <c r="J80" t="s" s="14">
        <v>169</v>
      </c>
      <c r="K80" t="s" s="14">
        <f>_xlfn.CONCAT(LEFT(I80,1),". ",J80)</f>
        <v>170</v>
      </c>
      <c r="L80" s="13">
        <v>152</v>
      </c>
      <c r="M80" s="13">
        <v>47</v>
      </c>
      <c r="N80" s="13">
        <v>100.5</v>
      </c>
      <c r="O80" s="13">
        <v>22</v>
      </c>
      <c r="P80" s="13">
        <v>83</v>
      </c>
      <c r="Q80" s="13">
        <f>P80*4800/SUM(P3:P252)</f>
        <v>26.5191251883763</v>
      </c>
      <c r="R80" s="13">
        <v>97.2916666666667</v>
      </c>
      <c r="S80" s="13">
        <v>326.128623188406</v>
      </c>
      <c r="T80" s="13">
        <v>29.375</v>
      </c>
      <c r="U80" s="13">
        <v>713.201086956522</v>
      </c>
      <c r="V80" s="13">
        <v>126.666666666667</v>
      </c>
      <c r="W80" s="13">
        <v>0.686212546408464</v>
      </c>
      <c r="X80" s="13">
        <v>102.581221711899</v>
      </c>
      <c r="Y80" s="13">
        <f>X80-O80</f>
        <v>80.581221711899</v>
      </c>
      <c r="Z80" s="13">
        <f>Y80*4800/SUM(Y3:Y252)</f>
        <v>27.2982406865331</v>
      </c>
      <c r="AA80" s="15"/>
      <c r="AB80" s="13">
        <f>_xlfn.XLOOKUP(K80,AF256:AF398,AH256:AH398)</f>
        <v>1</v>
      </c>
    </row>
    <row r="81" ht="8.35" customHeight="1" hidden="1">
      <c r="A81" s="11">
        <v>106</v>
      </c>
      <c r="B81" t="s" s="12">
        <v>46</v>
      </c>
      <c r="C81" s="13">
        <v>207</v>
      </c>
      <c r="D81" s="13">
        <v>7526</v>
      </c>
      <c r="E81" s="13">
        <v>2022</v>
      </c>
      <c r="F81" t="s" s="14">
        <v>29</v>
      </c>
      <c r="G81" s="13">
        <v>3</v>
      </c>
      <c r="H81" s="13">
        <v>48.2</v>
      </c>
      <c r="I81" t="s" s="14">
        <v>171</v>
      </c>
      <c r="J81" t="s" s="14">
        <v>172</v>
      </c>
      <c r="K81" s="15"/>
      <c r="L81" s="13">
        <v>221.7</v>
      </c>
      <c r="M81" s="13">
        <v>14.7</v>
      </c>
      <c r="N81" s="13">
        <v>183</v>
      </c>
      <c r="O81" s="13">
        <v>121.5</v>
      </c>
      <c r="P81" s="13">
        <v>85.5</v>
      </c>
      <c r="Q81" s="15"/>
      <c r="R81" s="13">
        <v>191.8725</v>
      </c>
      <c r="S81" s="13">
        <v>1211.201165492960</v>
      </c>
      <c r="T81" s="13">
        <v>-15.8213888888889</v>
      </c>
      <c r="U81" s="13">
        <v>2443.102854381850</v>
      </c>
      <c r="V81" s="13">
        <v>176.051111111111</v>
      </c>
      <c r="W81" s="13">
        <v>0.668554898851997</v>
      </c>
      <c r="X81" s="13">
        <v>201.986064232384</v>
      </c>
      <c r="Y81" s="13">
        <f>X81-O81</f>
        <v>80.486064232384</v>
      </c>
      <c r="Z81" s="13">
        <f>Y81*4800/SUM(Y3:Y252)</f>
        <v>27.2660044939843</v>
      </c>
      <c r="AA81" s="15"/>
      <c r="AB81" s="15"/>
    </row>
    <row r="82" ht="20.05" customHeight="1">
      <c r="A82" s="11">
        <v>45</v>
      </c>
      <c r="B82" t="s" s="12">
        <v>75</v>
      </c>
      <c r="C82" s="13">
        <v>334.72</v>
      </c>
      <c r="D82" s="13">
        <v>6770</v>
      </c>
      <c r="E82" s="13">
        <v>2023</v>
      </c>
      <c r="F82" t="s" s="14">
        <v>29</v>
      </c>
      <c r="G82" s="13">
        <v>4</v>
      </c>
      <c r="H82" s="13">
        <v>37.7</v>
      </c>
      <c r="I82" t="s" s="14">
        <v>42</v>
      </c>
      <c r="J82" t="s" s="14">
        <v>173</v>
      </c>
      <c r="K82" t="s" s="14">
        <f>_xlfn.CONCAT(LEFT(I82,1),". ",J82)</f>
        <v>174</v>
      </c>
      <c r="L82" s="13">
        <v>153.16</v>
      </c>
      <c r="M82" s="13">
        <v>-181.56</v>
      </c>
      <c r="N82" s="13">
        <v>332.28</v>
      </c>
      <c r="O82" s="13">
        <v>253.94</v>
      </c>
      <c r="P82" s="13">
        <v>80.78</v>
      </c>
      <c r="Q82" s="13">
        <f>P82*4800/SUM(P3:P252)</f>
        <v>25.8098184664703</v>
      </c>
      <c r="R82" s="13">
        <v>331.717272727273</v>
      </c>
      <c r="S82" s="13">
        <v>1529.024316017320</v>
      </c>
      <c r="T82" s="13">
        <v>-42.8909090909091</v>
      </c>
      <c r="U82" s="16">
        <v>5503.577170562770</v>
      </c>
      <c r="V82" s="13">
        <v>276.810434782609</v>
      </c>
      <c r="W82" s="13">
        <v>0.782580554445596</v>
      </c>
      <c r="X82" s="13">
        <v>334.067148701213</v>
      </c>
      <c r="Y82" s="13">
        <f>X82-O82</f>
        <v>80.127148701213</v>
      </c>
      <c r="Z82" s="13">
        <f>Y82*4800/SUM(Y3:Y252)</f>
        <v>27.1444158366285</v>
      </c>
      <c r="AA82" s="15"/>
      <c r="AB82" s="13">
        <f>_xlfn.XLOOKUP(K82,AF256:AF398,AH256:AH398)</f>
        <v>20</v>
      </c>
    </row>
    <row r="83" ht="20.05" customHeight="1">
      <c r="A83" s="11">
        <v>28</v>
      </c>
      <c r="B83" t="s" s="12">
        <v>152</v>
      </c>
      <c r="C83" s="13">
        <v>104</v>
      </c>
      <c r="D83" s="13">
        <v>5095</v>
      </c>
      <c r="E83" s="13">
        <v>2023</v>
      </c>
      <c r="F83" t="s" s="14">
        <v>29</v>
      </c>
      <c r="G83" s="13">
        <v>6</v>
      </c>
      <c r="H83" s="13">
        <v>139.5</v>
      </c>
      <c r="I83" t="s" s="14">
        <v>162</v>
      </c>
      <c r="J83" t="s" s="14">
        <v>163</v>
      </c>
      <c r="K83" t="s" s="14">
        <f>_xlfn.CONCAT(LEFT(I83,1),". ",J83)</f>
        <v>175</v>
      </c>
      <c r="L83" s="13">
        <v>117</v>
      </c>
      <c r="M83" s="13">
        <v>13</v>
      </c>
      <c r="N83" s="13">
        <v>100.5</v>
      </c>
      <c r="O83" s="13">
        <v>22</v>
      </c>
      <c r="P83" s="13">
        <v>82</v>
      </c>
      <c r="Q83" s="13">
        <f>P83*4800/SUM(P3:P252)</f>
        <v>26.1996176559862</v>
      </c>
      <c r="R83" s="13">
        <v>97.2916666666667</v>
      </c>
      <c r="S83" s="13">
        <v>326.128623188406</v>
      </c>
      <c r="T83" s="13">
        <v>29.375</v>
      </c>
      <c r="U83" s="13">
        <v>713.201086956522</v>
      </c>
      <c r="V83" s="13">
        <v>126.666666666667</v>
      </c>
      <c r="W83" s="13">
        <v>0.686212546408464</v>
      </c>
      <c r="X83" s="13">
        <v>101.895009165490</v>
      </c>
      <c r="Y83" s="13">
        <f>X83-O83</f>
        <v>79.89500916548999</v>
      </c>
      <c r="Z83" s="13">
        <f>Y83*4800/SUM(Y3:Y252)</f>
        <v>27.0657746745264</v>
      </c>
      <c r="AA83" s="15"/>
      <c r="AB83" s="13">
        <f>_xlfn.XLOOKUP(K83,AF256:AF398,AH256:AH398)</f>
        <v>1</v>
      </c>
    </row>
    <row r="84" ht="8.35" customHeight="1" hidden="1">
      <c r="A84" s="11">
        <v>96</v>
      </c>
      <c r="B84" t="s" s="12">
        <v>46</v>
      </c>
      <c r="C84" s="13">
        <v>205.96</v>
      </c>
      <c r="D84" s="13">
        <v>5872</v>
      </c>
      <c r="E84" s="13">
        <v>2022</v>
      </c>
      <c r="F84" t="s" s="14">
        <v>29</v>
      </c>
      <c r="G84" s="13">
        <v>5</v>
      </c>
      <c r="H84" s="13">
        <v>23.1</v>
      </c>
      <c r="I84" t="s" s="14">
        <v>176</v>
      </c>
      <c r="J84" t="s" s="14">
        <v>177</v>
      </c>
      <c r="K84" s="15"/>
      <c r="L84" s="13">
        <v>138.4</v>
      </c>
      <c r="M84" s="13">
        <v>-67.56</v>
      </c>
      <c r="N84" s="13">
        <v>183</v>
      </c>
      <c r="O84" s="13">
        <v>121.5</v>
      </c>
      <c r="P84" s="13">
        <v>84.45999999999999</v>
      </c>
      <c r="Q84" s="15"/>
      <c r="R84" s="13">
        <v>191.8725</v>
      </c>
      <c r="S84" s="13">
        <v>1211.201165492960</v>
      </c>
      <c r="T84" s="13">
        <v>-15.8213888888889</v>
      </c>
      <c r="U84" s="13">
        <v>2443.102854381850</v>
      </c>
      <c r="V84" s="13">
        <v>176.051111111111</v>
      </c>
      <c r="W84" s="13">
        <v>0.668554898851997</v>
      </c>
      <c r="X84" s="13">
        <v>201.290767137578</v>
      </c>
      <c r="Y84" s="13">
        <f>X84-O84</f>
        <v>79.790767137578</v>
      </c>
      <c r="Z84" s="13">
        <f>Y84*4800/SUM(Y3:Y252)</f>
        <v>27.0304609388056</v>
      </c>
      <c r="AA84" s="15"/>
      <c r="AB84" s="15"/>
    </row>
    <row r="85" ht="20.05" customHeight="1">
      <c r="A85" s="11">
        <v>31</v>
      </c>
      <c r="B85" t="s" s="12">
        <v>152</v>
      </c>
      <c r="C85" s="13">
        <v>103</v>
      </c>
      <c r="D85" s="13">
        <v>4666</v>
      </c>
      <c r="E85" s="13">
        <v>2023</v>
      </c>
      <c r="F85" t="s" s="14">
        <v>29</v>
      </c>
      <c r="G85" s="13">
        <v>7</v>
      </c>
      <c r="H85" s="13">
        <v>145.8</v>
      </c>
      <c r="I85" t="s" s="14">
        <v>178</v>
      </c>
      <c r="J85" t="s" s="14">
        <v>179</v>
      </c>
      <c r="K85" t="s" s="14">
        <f>_xlfn.CONCAT(LEFT(I85,1),". ",J85)</f>
        <v>180</v>
      </c>
      <c r="L85" s="13">
        <v>132</v>
      </c>
      <c r="M85" s="13">
        <v>29</v>
      </c>
      <c r="N85" s="13">
        <v>100.5</v>
      </c>
      <c r="O85" s="13">
        <v>22</v>
      </c>
      <c r="P85" s="13">
        <v>81</v>
      </c>
      <c r="Q85" s="13">
        <f>P85*4800/SUM(P3:P252)</f>
        <v>25.8801101235962</v>
      </c>
      <c r="R85" s="13">
        <v>97.2916666666667</v>
      </c>
      <c r="S85" s="13">
        <v>326.128623188406</v>
      </c>
      <c r="T85" s="13">
        <v>29.375</v>
      </c>
      <c r="U85" s="13">
        <v>713.201086956522</v>
      </c>
      <c r="V85" s="13">
        <v>126.666666666667</v>
      </c>
      <c r="W85" s="13">
        <v>0.686212546408464</v>
      </c>
      <c r="X85" s="13">
        <v>101.208796619082</v>
      </c>
      <c r="Y85" s="13">
        <f>X85-O85</f>
        <v>79.20879661908199</v>
      </c>
      <c r="Z85" s="13">
        <f>Y85*4800/SUM(Y3:Y252)</f>
        <v>26.8333086625201</v>
      </c>
      <c r="AA85" s="15"/>
      <c r="AB85" s="13">
        <f>_xlfn.XLOOKUP(K85,AF256:AF398,AH256:AH398)</f>
        <v>1</v>
      </c>
    </row>
    <row r="86" ht="20.05" customHeight="1">
      <c r="A86" s="11">
        <v>99</v>
      </c>
      <c r="B86" t="s" s="12">
        <v>46</v>
      </c>
      <c r="C86" s="13">
        <v>205</v>
      </c>
      <c r="D86" s="13">
        <v>7526</v>
      </c>
      <c r="E86" s="13">
        <v>2023</v>
      </c>
      <c r="F86" t="s" s="14">
        <v>29</v>
      </c>
      <c r="G86" s="13">
        <v>3</v>
      </c>
      <c r="H86" s="13">
        <v>22.3</v>
      </c>
      <c r="I86" t="s" s="14">
        <v>171</v>
      </c>
      <c r="J86" t="s" s="14">
        <v>172</v>
      </c>
      <c r="K86" t="s" s="14">
        <f>_xlfn.CONCAT(LEFT(I86,1),". ",J86)</f>
        <v>181</v>
      </c>
      <c r="L86" s="13">
        <v>162.6</v>
      </c>
      <c r="M86" s="13">
        <v>-42.4</v>
      </c>
      <c r="N86" s="13">
        <v>183</v>
      </c>
      <c r="O86" s="13">
        <v>121.5</v>
      </c>
      <c r="P86" s="13">
        <v>83.5</v>
      </c>
      <c r="Q86" s="13">
        <f>P86*4800/SUM(P3:P252)</f>
        <v>26.6788789545714</v>
      </c>
      <c r="R86" s="13">
        <v>191.8725</v>
      </c>
      <c r="S86" s="13">
        <v>1211.201165492960</v>
      </c>
      <c r="T86" s="13">
        <v>-15.8213888888889</v>
      </c>
      <c r="U86" s="13">
        <v>2443.102854381850</v>
      </c>
      <c r="V86" s="13">
        <v>176.051111111111</v>
      </c>
      <c r="W86" s="13">
        <v>0.668554898851997</v>
      </c>
      <c r="X86" s="13">
        <v>200.648954434680</v>
      </c>
      <c r="Y86" s="13">
        <f>X86-O86</f>
        <v>79.14895443467999</v>
      </c>
      <c r="Z86" s="13">
        <f>Y86*4800/SUM(Y3:Y252)</f>
        <v>26.8130361186406</v>
      </c>
      <c r="AA86" s="15"/>
      <c r="AB86" s="13">
        <f>_xlfn.XLOOKUP(K86,AF256:AF398,AH256:AH398)</f>
        <v>35</v>
      </c>
    </row>
    <row r="87" ht="8.35" customHeight="1" hidden="1">
      <c r="A87" s="11">
        <v>35</v>
      </c>
      <c r="B87" t="s" s="12">
        <v>152</v>
      </c>
      <c r="C87" s="13">
        <v>102</v>
      </c>
      <c r="D87" s="13">
        <v>650</v>
      </c>
      <c r="E87" s="13">
        <v>2022</v>
      </c>
      <c r="F87" t="s" s="14">
        <v>29</v>
      </c>
      <c r="G87" s="13">
        <v>17</v>
      </c>
      <c r="H87" s="13">
        <v>194.4</v>
      </c>
      <c r="I87" t="s" s="14">
        <v>35</v>
      </c>
      <c r="J87" t="s" s="14">
        <v>182</v>
      </c>
      <c r="K87" s="15"/>
      <c r="L87" s="13">
        <v>138</v>
      </c>
      <c r="M87" s="13">
        <v>36</v>
      </c>
      <c r="N87" s="13">
        <v>100.5</v>
      </c>
      <c r="O87" s="13">
        <v>22</v>
      </c>
      <c r="P87" s="13">
        <v>80</v>
      </c>
      <c r="Q87" s="15"/>
      <c r="R87" s="13">
        <v>97.2916666666667</v>
      </c>
      <c r="S87" s="13">
        <v>326.128623188406</v>
      </c>
      <c r="T87" s="13">
        <v>29.375</v>
      </c>
      <c r="U87" s="13">
        <v>713.201086956522</v>
      </c>
      <c r="V87" s="13">
        <v>126.666666666667</v>
      </c>
      <c r="W87" s="13">
        <v>0.686212546408464</v>
      </c>
      <c r="X87" s="13">
        <v>100.522584072673</v>
      </c>
      <c r="Y87" s="13">
        <f>X87-O87</f>
        <v>78.522584072673</v>
      </c>
      <c r="Z87" s="13">
        <f>Y87*4800/SUM(Y3:Y252)</f>
        <v>26.6008426505134</v>
      </c>
      <c r="AA87" s="15"/>
      <c r="AB87" s="15"/>
    </row>
    <row r="88" ht="8.35" customHeight="1" hidden="1">
      <c r="A88" s="11">
        <v>29</v>
      </c>
      <c r="B88" t="s" s="12">
        <v>152</v>
      </c>
      <c r="C88" s="13">
        <v>101</v>
      </c>
      <c r="D88" s="13">
        <v>7042</v>
      </c>
      <c r="E88" s="13">
        <v>2022</v>
      </c>
      <c r="F88" t="s" s="14">
        <v>29</v>
      </c>
      <c r="G88" s="13">
        <v>4</v>
      </c>
      <c r="H88" s="13">
        <v>148.1</v>
      </c>
      <c r="I88" t="s" s="14">
        <v>159</v>
      </c>
      <c r="J88" t="s" s="14">
        <v>160</v>
      </c>
      <c r="K88" s="15"/>
      <c r="L88" s="13">
        <v>140</v>
      </c>
      <c r="M88" s="13">
        <v>39</v>
      </c>
      <c r="N88" s="13">
        <v>100.5</v>
      </c>
      <c r="O88" s="13">
        <v>22</v>
      </c>
      <c r="P88" s="13">
        <v>79</v>
      </c>
      <c r="Q88" s="15"/>
      <c r="R88" s="13">
        <v>97.2916666666667</v>
      </c>
      <c r="S88" s="13">
        <v>326.128623188406</v>
      </c>
      <c r="T88" s="13">
        <v>29.375</v>
      </c>
      <c r="U88" s="13">
        <v>713.201086956522</v>
      </c>
      <c r="V88" s="13">
        <v>126.666666666667</v>
      </c>
      <c r="W88" s="13">
        <v>0.686212546408464</v>
      </c>
      <c r="X88" s="13">
        <v>99.8363715262647</v>
      </c>
      <c r="Y88" s="13">
        <f>X88-O88</f>
        <v>77.8363715262647</v>
      </c>
      <c r="Z88" s="13">
        <f>Y88*4800/SUM(Y3:Y252)</f>
        <v>26.3683766385069</v>
      </c>
      <c r="AA88" s="15"/>
      <c r="AB88" s="15"/>
    </row>
    <row r="89" ht="8.35" customHeight="1" hidden="1">
      <c r="A89" s="11">
        <v>101</v>
      </c>
      <c r="B89" t="s" s="12">
        <v>46</v>
      </c>
      <c r="C89" s="13">
        <v>202.1</v>
      </c>
      <c r="D89" s="13">
        <v>6801</v>
      </c>
      <c r="E89" s="13">
        <v>2022</v>
      </c>
      <c r="F89" t="s" s="14">
        <v>29</v>
      </c>
      <c r="G89" s="13">
        <v>4</v>
      </c>
      <c r="H89" s="13">
        <v>34.7</v>
      </c>
      <c r="I89" t="s" s="14">
        <v>183</v>
      </c>
      <c r="J89" t="s" s="14">
        <v>184</v>
      </c>
      <c r="K89" s="15"/>
      <c r="L89" s="13">
        <v>185.7</v>
      </c>
      <c r="M89" s="13">
        <v>-16.4</v>
      </c>
      <c r="N89" s="13">
        <v>183</v>
      </c>
      <c r="O89" s="13">
        <v>121.5</v>
      </c>
      <c r="P89" s="13">
        <v>80.59999999999999</v>
      </c>
      <c r="Q89" s="15"/>
      <c r="R89" s="13">
        <v>191.8725</v>
      </c>
      <c r="S89" s="13">
        <v>1211.201165492960</v>
      </c>
      <c r="T89" s="13">
        <v>-15.8213888888889</v>
      </c>
      <c r="U89" s="13">
        <v>2443.102854381850</v>
      </c>
      <c r="V89" s="13">
        <v>176.051111111111</v>
      </c>
      <c r="W89" s="13">
        <v>0.668554898851997</v>
      </c>
      <c r="X89" s="13">
        <v>198.710145228009</v>
      </c>
      <c r="Y89" s="13">
        <f>X89-O89</f>
        <v>77.210145228009</v>
      </c>
      <c r="Z89" s="13">
        <f>Y89*4800/SUM(Y3:Y252)</f>
        <v>26.1562319743923</v>
      </c>
      <c r="AA89" s="15"/>
      <c r="AB89" s="15"/>
    </row>
    <row r="90" ht="8.35" customHeight="1" hidden="1">
      <c r="A90" s="11">
        <v>30</v>
      </c>
      <c r="B90" t="s" s="12">
        <v>152</v>
      </c>
      <c r="C90" s="13">
        <v>100</v>
      </c>
      <c r="D90" s="13">
        <v>6083</v>
      </c>
      <c r="E90" s="13">
        <v>2022</v>
      </c>
      <c r="F90" t="s" s="14">
        <v>29</v>
      </c>
      <c r="G90" s="13">
        <v>5</v>
      </c>
      <c r="H90" s="13">
        <v>149.4</v>
      </c>
      <c r="I90" t="s" s="14">
        <v>166</v>
      </c>
      <c r="J90" t="s" s="14">
        <v>185</v>
      </c>
      <c r="K90" s="15"/>
      <c r="L90" s="13">
        <v>130</v>
      </c>
      <c r="M90" s="13">
        <v>30</v>
      </c>
      <c r="N90" s="13">
        <v>100.5</v>
      </c>
      <c r="O90" s="13">
        <v>22</v>
      </c>
      <c r="P90" s="13">
        <v>78</v>
      </c>
      <c r="Q90" s="15"/>
      <c r="R90" s="13">
        <v>97.2916666666667</v>
      </c>
      <c r="S90" s="13">
        <v>326.128623188406</v>
      </c>
      <c r="T90" s="13">
        <v>29.375</v>
      </c>
      <c r="U90" s="13">
        <v>713.201086956522</v>
      </c>
      <c r="V90" s="13">
        <v>126.666666666667</v>
      </c>
      <c r="W90" s="13">
        <v>0.686212546408464</v>
      </c>
      <c r="X90" s="13">
        <v>99.1501589798563</v>
      </c>
      <c r="Y90" s="13">
        <f>X90-O90</f>
        <v>77.1501589798563</v>
      </c>
      <c r="Z90" s="13">
        <f>Y90*4800/SUM(Y3:Y252)</f>
        <v>26.1359106265005</v>
      </c>
      <c r="AA90" s="15"/>
      <c r="AB90" s="15"/>
    </row>
    <row r="91" ht="20.05" customHeight="1">
      <c r="A91" s="11">
        <v>98</v>
      </c>
      <c r="B91" t="s" s="12">
        <v>46</v>
      </c>
      <c r="C91" s="13">
        <v>201.2</v>
      </c>
      <c r="D91" s="13">
        <v>8146</v>
      </c>
      <c r="E91" s="13">
        <v>2023</v>
      </c>
      <c r="F91" t="s" s="14">
        <v>29</v>
      </c>
      <c r="G91" s="13">
        <v>2</v>
      </c>
      <c r="H91" s="13">
        <v>21.7</v>
      </c>
      <c r="I91" t="s" s="14">
        <v>186</v>
      </c>
      <c r="J91" t="s" s="14">
        <v>187</v>
      </c>
      <c r="K91" t="s" s="14">
        <f>_xlfn.CONCAT(LEFT(I91,1),". ",J91)</f>
        <v>188</v>
      </c>
      <c r="L91" s="13">
        <v>165.7</v>
      </c>
      <c r="M91" s="13">
        <v>-35.5</v>
      </c>
      <c r="N91" s="13">
        <v>183</v>
      </c>
      <c r="O91" s="13">
        <v>121.5</v>
      </c>
      <c r="P91" s="13">
        <v>79.7</v>
      </c>
      <c r="Q91" s="13">
        <f>P91*4800/SUM(P3:P252)</f>
        <v>25.4647503314891</v>
      </c>
      <c r="R91" s="13">
        <v>191.8725</v>
      </c>
      <c r="S91" s="13">
        <v>1211.201165492960</v>
      </c>
      <c r="T91" s="13">
        <v>-15.8213888888889</v>
      </c>
      <c r="U91" s="13">
        <v>2443.102854381850</v>
      </c>
      <c r="V91" s="13">
        <v>176.051111111111</v>
      </c>
      <c r="W91" s="13">
        <v>0.668554898851997</v>
      </c>
      <c r="X91" s="16">
        <v>198.108445819042</v>
      </c>
      <c r="Y91" s="13">
        <f>X91-O91</f>
        <v>76.608445819042</v>
      </c>
      <c r="Z91" s="13">
        <f>Y91*4800/SUM(Y3:Y252)</f>
        <v>25.9523962054876</v>
      </c>
      <c r="AA91" s="15"/>
      <c r="AB91" s="13">
        <f>_xlfn.XLOOKUP(K91,AF256:AF398,AH256:AH398)</f>
        <v>38</v>
      </c>
    </row>
    <row r="92" ht="20.05" customHeight="1">
      <c r="A92" s="11">
        <v>77</v>
      </c>
      <c r="B92" t="s" s="12">
        <v>145</v>
      </c>
      <c r="C92" s="13">
        <v>206.4</v>
      </c>
      <c r="D92" s="13">
        <v>1466</v>
      </c>
      <c r="E92" s="13">
        <v>2023</v>
      </c>
      <c r="F92" t="s" s="14">
        <v>29</v>
      </c>
      <c r="G92" s="13">
        <v>11</v>
      </c>
      <c r="H92" s="13">
        <v>5.1</v>
      </c>
      <c r="I92" t="s" s="14">
        <v>77</v>
      </c>
      <c r="J92" t="s" s="14">
        <v>146</v>
      </c>
      <c r="K92" t="s" s="14">
        <f>_xlfn.CONCAT(LEFT(I92,1),". ",J92)</f>
        <v>189</v>
      </c>
      <c r="L92" s="13">
        <v>172.9</v>
      </c>
      <c r="M92" s="13">
        <v>-33.5</v>
      </c>
      <c r="N92" s="13">
        <v>137.15</v>
      </c>
      <c r="O92" s="13">
        <v>104.6</v>
      </c>
      <c r="P92" s="13">
        <v>101.8</v>
      </c>
      <c r="Q92" s="13">
        <f>P92*4800/SUM(P3:P252)</f>
        <v>32.5258667973097</v>
      </c>
      <c r="R92" s="13">
        <v>143.691666666667</v>
      </c>
      <c r="S92" s="13">
        <v>922.432101449276</v>
      </c>
      <c r="T92" s="13">
        <v>-13.4541666666667</v>
      </c>
      <c r="U92" s="13">
        <v>1365.687807971010</v>
      </c>
      <c r="V92" s="13">
        <v>130.2375</v>
      </c>
      <c r="W92" s="13">
        <v>0.596860244233013</v>
      </c>
      <c r="X92" s="13">
        <v>181.119777815445</v>
      </c>
      <c r="Y92" s="13">
        <f>X92-O92</f>
        <v>76.519777815445</v>
      </c>
      <c r="Z92" s="13">
        <f>Y92*4800/SUM(Y3:Y252)</f>
        <v>25.9223584317735</v>
      </c>
      <c r="AA92" s="15"/>
      <c r="AB92" s="13">
        <f>_xlfn.XLOOKUP(K92,AF256:AF398,AH256:AH398)</f>
        <v>42</v>
      </c>
    </row>
    <row r="93" ht="20.05" customHeight="1">
      <c r="A93" s="11">
        <v>32</v>
      </c>
      <c r="B93" t="s" s="12">
        <v>152</v>
      </c>
      <c r="C93" s="13">
        <v>99</v>
      </c>
      <c r="D93" s="13">
        <v>5119</v>
      </c>
      <c r="E93" s="13">
        <v>2023</v>
      </c>
      <c r="F93" t="s" s="14">
        <v>29</v>
      </c>
      <c r="G93" s="13">
        <v>6</v>
      </c>
      <c r="H93" s="13">
        <v>156.7</v>
      </c>
      <c r="I93" t="s" s="14">
        <v>190</v>
      </c>
      <c r="J93" t="s" s="14">
        <v>131</v>
      </c>
      <c r="K93" t="s" s="14">
        <f>_xlfn.CONCAT(LEFT(I93,1),". ",J93)</f>
        <v>191</v>
      </c>
      <c r="L93" s="13">
        <v>141</v>
      </c>
      <c r="M93" s="13">
        <v>42</v>
      </c>
      <c r="N93" s="13">
        <v>100.5</v>
      </c>
      <c r="O93" s="13">
        <v>22</v>
      </c>
      <c r="P93" s="13">
        <v>77</v>
      </c>
      <c r="Q93" s="13">
        <f>P93*4800/SUM(P3:P252)</f>
        <v>24.6020799940359</v>
      </c>
      <c r="R93" s="13">
        <v>97.2916666666667</v>
      </c>
      <c r="S93" s="13">
        <v>326.128623188406</v>
      </c>
      <c r="T93" s="13">
        <v>29.375</v>
      </c>
      <c r="U93" s="13">
        <v>713.201086956522</v>
      </c>
      <c r="V93" s="13">
        <v>126.666666666667</v>
      </c>
      <c r="W93" s="13">
        <v>0.686212546408464</v>
      </c>
      <c r="X93" s="13">
        <v>98.4639464334478</v>
      </c>
      <c r="Y93" s="13">
        <f>X93-O93</f>
        <v>76.4639464334478</v>
      </c>
      <c r="Z93" s="13">
        <f>Y93*4800/SUM(Y3:Y252)</f>
        <v>25.903444614494</v>
      </c>
      <c r="AA93" s="15"/>
      <c r="AB93" s="13">
        <f>_xlfn.XLOOKUP(K93,AF256:AF398,AH256:AH398)</f>
        <v>1</v>
      </c>
    </row>
    <row r="94" ht="8.35" customHeight="1" hidden="1">
      <c r="A94" s="11">
        <v>47</v>
      </c>
      <c r="B94" t="s" s="12">
        <v>75</v>
      </c>
      <c r="C94" s="13">
        <v>329.84</v>
      </c>
      <c r="D94" s="13">
        <v>6770</v>
      </c>
      <c r="E94" s="13">
        <v>2022</v>
      </c>
      <c r="F94" t="s" s="14">
        <v>29</v>
      </c>
      <c r="G94" s="13">
        <v>4</v>
      </c>
      <c r="H94" s="13">
        <v>62.8</v>
      </c>
      <c r="I94" t="s" s="14">
        <v>42</v>
      </c>
      <c r="J94" t="s" s="14">
        <v>173</v>
      </c>
      <c r="K94" s="15"/>
      <c r="L94" s="13">
        <v>365.98</v>
      </c>
      <c r="M94" s="13">
        <v>36.14</v>
      </c>
      <c r="N94" s="13">
        <v>332.28</v>
      </c>
      <c r="O94" s="13">
        <v>253.94</v>
      </c>
      <c r="P94" s="13">
        <v>75.90000000000001</v>
      </c>
      <c r="Q94" s="15"/>
      <c r="R94" s="13">
        <v>331.717272727273</v>
      </c>
      <c r="S94" s="13">
        <v>1529.024316017320</v>
      </c>
      <c r="T94" s="13">
        <v>-42.8909090909091</v>
      </c>
      <c r="U94" s="16">
        <v>5503.577170562770</v>
      </c>
      <c r="V94" s="13">
        <v>276.810434782609</v>
      </c>
      <c r="W94" s="13">
        <v>0.782580554445596</v>
      </c>
      <c r="X94" s="16">
        <v>330.248155595518</v>
      </c>
      <c r="Y94" s="13">
        <f>X94-O94</f>
        <v>76.308155595518</v>
      </c>
      <c r="Z94" s="13">
        <f>Y94*4800/SUM(Y3:Y252)</f>
        <v>25.8506678545961</v>
      </c>
      <c r="AA94" s="15"/>
      <c r="AB94" s="15"/>
    </row>
    <row r="95" ht="20.05" customHeight="1">
      <c r="A95" s="11">
        <v>35</v>
      </c>
      <c r="B95" t="s" s="12">
        <v>152</v>
      </c>
      <c r="C95" s="13">
        <v>98</v>
      </c>
      <c r="D95" s="13">
        <v>503</v>
      </c>
      <c r="E95" s="13">
        <v>2023</v>
      </c>
      <c r="F95" t="s" s="14">
        <v>29</v>
      </c>
      <c r="G95" s="13">
        <v>15</v>
      </c>
      <c r="H95" s="13">
        <v>178.6</v>
      </c>
      <c r="I95" t="s" s="14">
        <v>192</v>
      </c>
      <c r="J95" t="s" s="14">
        <v>193</v>
      </c>
      <c r="K95" t="s" s="14">
        <f>_xlfn.CONCAT(LEFT(I95,1),". ",J95)</f>
        <v>194</v>
      </c>
      <c r="L95" s="13">
        <v>44</v>
      </c>
      <c r="M95" s="13">
        <v>-54</v>
      </c>
      <c r="N95" s="13">
        <v>100.5</v>
      </c>
      <c r="O95" s="13">
        <v>22</v>
      </c>
      <c r="P95" s="13">
        <v>76</v>
      </c>
      <c r="Q95" s="13">
        <f>P95*4800/SUM(P3:P252)</f>
        <v>24.2825724616458</v>
      </c>
      <c r="R95" s="13">
        <v>97.2916666666667</v>
      </c>
      <c r="S95" s="13">
        <v>326.128623188406</v>
      </c>
      <c r="T95" s="13">
        <v>29.375</v>
      </c>
      <c r="U95" s="13">
        <v>713.201086956522</v>
      </c>
      <c r="V95" s="13">
        <v>126.666666666667</v>
      </c>
      <c r="W95" s="13">
        <v>0.686212546408464</v>
      </c>
      <c r="X95" s="13">
        <v>97.7777338870393</v>
      </c>
      <c r="Y95" s="13">
        <f>X95-O95</f>
        <v>75.7777338870393</v>
      </c>
      <c r="Z95" s="13">
        <f>Y95*4800/SUM(Y3:Y252)</f>
        <v>25.6709786024874</v>
      </c>
      <c r="AA95" s="15"/>
      <c r="AB95" s="13">
        <f>_xlfn.XLOOKUP(K95,AF256:AF398,AH256:AH398)</f>
        <v>1</v>
      </c>
    </row>
    <row r="96" ht="20.05" customHeight="1">
      <c r="A96" s="11">
        <v>105</v>
      </c>
      <c r="B96" t="s" s="12">
        <v>46</v>
      </c>
      <c r="C96" s="13">
        <v>197.6</v>
      </c>
      <c r="D96" s="13">
        <v>4981</v>
      </c>
      <c r="E96" s="13">
        <v>2023</v>
      </c>
      <c r="F96" t="s" s="14">
        <v>29</v>
      </c>
      <c r="G96" s="13">
        <v>6</v>
      </c>
      <c r="H96" s="13">
        <v>38.1</v>
      </c>
      <c r="I96" t="s" s="14">
        <v>195</v>
      </c>
      <c r="J96" t="s" s="14">
        <v>196</v>
      </c>
      <c r="K96" t="s" s="14">
        <f>_xlfn.CONCAT(LEFT(I96,1),". ",J96)</f>
        <v>197</v>
      </c>
      <c r="L96" s="13">
        <v>191.9</v>
      </c>
      <c r="M96" s="13">
        <v>-5.69999999999999</v>
      </c>
      <c r="N96" s="13">
        <v>183</v>
      </c>
      <c r="O96" s="13">
        <v>121.5</v>
      </c>
      <c r="P96" s="13">
        <v>76.09999999999999</v>
      </c>
      <c r="Q96" s="13">
        <f>P96*4800/SUM(P3:P252)</f>
        <v>24.3145232148848</v>
      </c>
      <c r="R96" s="13">
        <v>191.8725</v>
      </c>
      <c r="S96" s="13">
        <v>1211.201165492960</v>
      </c>
      <c r="T96" s="13">
        <v>-15.8213888888889</v>
      </c>
      <c r="U96" s="13">
        <v>2443.102854381850</v>
      </c>
      <c r="V96" s="13">
        <v>176.051111111111</v>
      </c>
      <c r="W96" s="13">
        <v>0.668554898851997</v>
      </c>
      <c r="X96" s="13">
        <v>195.701648183175</v>
      </c>
      <c r="Y96" s="13">
        <f>X96-O96</f>
        <v>74.201648183175</v>
      </c>
      <c r="Z96" s="13">
        <f>Y96*4800/SUM(Y3:Y252)</f>
        <v>25.1370531298691</v>
      </c>
      <c r="AA96" s="15"/>
      <c r="AB96" s="13">
        <f>_xlfn.XLOOKUP(K96,AF256:AF398,AH256:AH398)</f>
        <v>28</v>
      </c>
    </row>
    <row r="97" ht="20.05" customHeight="1">
      <c r="A97" s="11">
        <v>100</v>
      </c>
      <c r="B97" t="s" s="12">
        <v>46</v>
      </c>
      <c r="C97" s="13">
        <v>196.2</v>
      </c>
      <c r="D97" s="13">
        <v>8144</v>
      </c>
      <c r="E97" s="13">
        <v>2023</v>
      </c>
      <c r="F97" t="s" s="14">
        <v>29</v>
      </c>
      <c r="G97" s="13">
        <v>2</v>
      </c>
      <c r="H97" s="13">
        <v>26.3</v>
      </c>
      <c r="I97" t="s" s="14">
        <v>198</v>
      </c>
      <c r="J97" t="s" s="14">
        <v>199</v>
      </c>
      <c r="K97" t="s" s="14">
        <f>_xlfn.CONCAT(LEFT(I97,1),". ",J97)</f>
        <v>200</v>
      </c>
      <c r="L97" s="13">
        <v>187.8</v>
      </c>
      <c r="M97" s="13">
        <v>-8.399999999999981</v>
      </c>
      <c r="N97" s="13">
        <v>183</v>
      </c>
      <c r="O97" s="13">
        <v>121.5</v>
      </c>
      <c r="P97" s="13">
        <v>74.7</v>
      </c>
      <c r="Q97" s="13">
        <f>P97*4800/SUM(P3:P252)</f>
        <v>23.8672126695387</v>
      </c>
      <c r="R97" s="13">
        <v>191.8725</v>
      </c>
      <c r="S97" s="13">
        <v>1211.201165492960</v>
      </c>
      <c r="T97" s="13">
        <v>-15.8213888888889</v>
      </c>
      <c r="U97" s="13">
        <v>2443.102854381850</v>
      </c>
      <c r="V97" s="13">
        <v>176.051111111111</v>
      </c>
      <c r="W97" s="13">
        <v>0.668554898851997</v>
      </c>
      <c r="X97" s="16">
        <v>194.765671324782</v>
      </c>
      <c r="Y97" s="13">
        <f>X97-O97</f>
        <v>73.26567132478201</v>
      </c>
      <c r="Z97" s="13">
        <f>Y97*4800/SUM(Y3:Y252)</f>
        <v>24.8199752671284</v>
      </c>
      <c r="AA97" s="15"/>
      <c r="AB97" s="13">
        <f>_xlfn.XLOOKUP(K97,AF256:AF398,AH256:AH398)</f>
        <v>33</v>
      </c>
    </row>
    <row r="98" ht="8.35" customHeight="1" hidden="1">
      <c r="A98" s="11">
        <v>32</v>
      </c>
      <c r="B98" t="s" s="12">
        <v>152</v>
      </c>
      <c r="C98" s="13">
        <v>94</v>
      </c>
      <c r="D98" s="13">
        <v>4666</v>
      </c>
      <c r="E98" s="13">
        <v>2022</v>
      </c>
      <c r="F98" t="s" s="14">
        <v>29</v>
      </c>
      <c r="G98" s="13">
        <v>7</v>
      </c>
      <c r="H98" s="13">
        <v>174.8</v>
      </c>
      <c r="I98" t="s" s="14">
        <v>178</v>
      </c>
      <c r="J98" t="s" s="14">
        <v>179</v>
      </c>
      <c r="K98" s="15"/>
      <c r="L98" s="13">
        <v>145</v>
      </c>
      <c r="M98" s="13">
        <v>51</v>
      </c>
      <c r="N98" s="13">
        <v>100.5</v>
      </c>
      <c r="O98" s="13">
        <v>22</v>
      </c>
      <c r="P98" s="13">
        <v>72</v>
      </c>
      <c r="Q98" s="15"/>
      <c r="R98" s="13">
        <v>97.2916666666667</v>
      </c>
      <c r="S98" s="13">
        <v>326.128623188406</v>
      </c>
      <c r="T98" s="13">
        <v>29.375</v>
      </c>
      <c r="U98" s="13">
        <v>713.201086956522</v>
      </c>
      <c r="V98" s="13">
        <v>126.666666666667</v>
      </c>
      <c r="W98" s="13">
        <v>0.686212546408464</v>
      </c>
      <c r="X98" s="13">
        <v>95.0328837014055</v>
      </c>
      <c r="Y98" s="13">
        <f>X98-O98</f>
        <v>73.0328837014055</v>
      </c>
      <c r="Z98" s="13">
        <f>Y98*4800/SUM(Y3:Y252)</f>
        <v>24.7411145544614</v>
      </c>
      <c r="AA98" s="15"/>
      <c r="AB98" s="15"/>
    </row>
    <row r="99" ht="20.05" customHeight="1">
      <c r="A99" s="11">
        <v>102</v>
      </c>
      <c r="B99" t="s" s="12">
        <v>46</v>
      </c>
      <c r="C99" s="13">
        <v>195.7</v>
      </c>
      <c r="D99" s="13">
        <v>7525</v>
      </c>
      <c r="E99" s="13">
        <v>2023</v>
      </c>
      <c r="F99" t="s" s="14">
        <v>29</v>
      </c>
      <c r="G99" s="13">
        <v>3</v>
      </c>
      <c r="H99" s="13">
        <v>30.7</v>
      </c>
      <c r="I99" t="s" s="14">
        <v>201</v>
      </c>
      <c r="J99" t="s" s="14">
        <v>202</v>
      </c>
      <c r="K99" t="s" s="14">
        <f>_xlfn.CONCAT(LEFT(I99,1),". ",J99)</f>
        <v>203</v>
      </c>
      <c r="L99" s="13">
        <v>187.1</v>
      </c>
      <c r="M99" s="13">
        <v>-8.599999999999991</v>
      </c>
      <c r="N99" s="13">
        <v>183</v>
      </c>
      <c r="O99" s="13">
        <v>121.5</v>
      </c>
      <c r="P99" s="13">
        <v>74.2</v>
      </c>
      <c r="Q99" s="13">
        <f>P99*4800/SUM(P3:P252)</f>
        <v>23.7074589033436</v>
      </c>
      <c r="R99" s="13">
        <v>191.8725</v>
      </c>
      <c r="S99" s="13">
        <v>1211.201165492960</v>
      </c>
      <c r="T99" s="13">
        <v>-15.8213888888889</v>
      </c>
      <c r="U99" s="13">
        <v>2443.102854381850</v>
      </c>
      <c r="V99" s="13">
        <v>176.051111111111</v>
      </c>
      <c r="W99" s="13">
        <v>0.668554898851997</v>
      </c>
      <c r="X99" s="16">
        <v>194.431393875356</v>
      </c>
      <c r="Y99" s="13">
        <f>X99-O99</f>
        <v>72.93139387535599</v>
      </c>
      <c r="Z99" s="13">
        <f>Y99*4800/SUM(Y3:Y252)</f>
        <v>24.7067331732925</v>
      </c>
      <c r="AA99" s="15"/>
      <c r="AB99" s="13">
        <f>_xlfn.XLOOKUP(K99,AF256:AF398,AH256:AH398)</f>
        <v>27</v>
      </c>
    </row>
    <row r="100" ht="20.05" customHeight="1">
      <c r="A100" s="11">
        <v>101</v>
      </c>
      <c r="B100" t="s" s="12">
        <v>46</v>
      </c>
      <c r="C100" s="13">
        <v>195.1</v>
      </c>
      <c r="D100" s="13">
        <v>6801</v>
      </c>
      <c r="E100" s="13">
        <v>2023</v>
      </c>
      <c r="F100" t="s" s="14">
        <v>29</v>
      </c>
      <c r="G100" s="13">
        <v>4</v>
      </c>
      <c r="H100" s="13">
        <v>28.7</v>
      </c>
      <c r="I100" t="s" s="14">
        <v>183</v>
      </c>
      <c r="J100" t="s" s="14">
        <v>184</v>
      </c>
      <c r="K100" t="s" s="14">
        <f>_xlfn.CONCAT(LEFT(I100,1),". ",J100)</f>
        <v>204</v>
      </c>
      <c r="L100" s="13">
        <v>116.6</v>
      </c>
      <c r="M100" s="13">
        <v>-78.5</v>
      </c>
      <c r="N100" s="13">
        <v>183</v>
      </c>
      <c r="O100" s="13">
        <v>121.5</v>
      </c>
      <c r="P100" s="13">
        <v>73.59999999999999</v>
      </c>
      <c r="Q100" s="13">
        <f>P100*4800/SUM(P3:P252)</f>
        <v>23.5157543839096</v>
      </c>
      <c r="R100" s="13">
        <v>191.8725</v>
      </c>
      <c r="S100" s="13">
        <v>1211.201165492960</v>
      </c>
      <c r="T100" s="13">
        <v>-15.8213888888889</v>
      </c>
      <c r="U100" s="13">
        <v>2443.102854381850</v>
      </c>
      <c r="V100" s="13">
        <v>176.051111111111</v>
      </c>
      <c r="W100" s="13">
        <v>0.668554898851997</v>
      </c>
      <c r="X100" s="13">
        <v>194.030260936045</v>
      </c>
      <c r="Y100" s="13">
        <f>X100-O100</f>
        <v>72.530260936045</v>
      </c>
      <c r="Z100" s="13">
        <f>Y100*4800/SUM(Y3:Y252)</f>
        <v>24.5708426606895</v>
      </c>
      <c r="AA100" t="s" s="14">
        <v>87</v>
      </c>
      <c r="AB100" s="13">
        <f>_xlfn.XLOOKUP(K100,AF256:AF398,AH256:AH398)</f>
        <v>26</v>
      </c>
    </row>
    <row r="101" ht="20.05" customHeight="1">
      <c r="A101" s="11">
        <v>30</v>
      </c>
      <c r="B101" t="s" s="12">
        <v>152</v>
      </c>
      <c r="C101" s="13">
        <v>93</v>
      </c>
      <c r="D101" s="13">
        <v>4195</v>
      </c>
      <c r="E101" s="13">
        <v>2023</v>
      </c>
      <c r="F101" t="s" s="14">
        <v>29</v>
      </c>
      <c r="G101" s="13">
        <v>7</v>
      </c>
      <c r="H101" s="13">
        <v>144</v>
      </c>
      <c r="I101" t="s" s="14">
        <v>205</v>
      </c>
      <c r="J101" t="s" s="14">
        <v>89</v>
      </c>
      <c r="K101" t="s" s="14">
        <f>_xlfn.CONCAT(LEFT(I101,1),". ",J101)</f>
        <v>206</v>
      </c>
      <c r="L101" s="13">
        <v>153</v>
      </c>
      <c r="M101" s="13">
        <v>60</v>
      </c>
      <c r="N101" s="13">
        <v>100.5</v>
      </c>
      <c r="O101" s="13">
        <v>22</v>
      </c>
      <c r="P101" s="13">
        <v>71</v>
      </c>
      <c r="Q101" s="13">
        <f>P101*4800/SUM(P3:P252)</f>
        <v>22.6850347996954</v>
      </c>
      <c r="R101" s="13">
        <v>97.2916666666667</v>
      </c>
      <c r="S101" s="13">
        <v>326.128623188406</v>
      </c>
      <c r="T101" s="13">
        <v>29.375</v>
      </c>
      <c r="U101" s="13">
        <v>713.201086956522</v>
      </c>
      <c r="V101" s="13">
        <v>126.666666666667</v>
      </c>
      <c r="W101" s="13">
        <v>0.686212546408464</v>
      </c>
      <c r="X101" s="13">
        <v>94.346671154997</v>
      </c>
      <c r="Y101" s="13">
        <f>X101-O101</f>
        <v>72.346671154997</v>
      </c>
      <c r="Z101" s="13">
        <f>Y101*4800/SUM(Y3:Y252)</f>
        <v>24.5086485424549</v>
      </c>
      <c r="AA101" s="15"/>
      <c r="AB101" s="13">
        <f>_xlfn.XLOOKUP(K101,AF256:AF398,AH256:AH398)</f>
        <v>1</v>
      </c>
    </row>
    <row r="102" ht="8.35" customHeight="1" hidden="1">
      <c r="A102" s="11">
        <v>104</v>
      </c>
      <c r="B102" t="s" s="12">
        <v>46</v>
      </c>
      <c r="C102" s="13">
        <v>194.3</v>
      </c>
      <c r="D102" s="13">
        <v>4068</v>
      </c>
      <c r="E102" s="13">
        <v>2022</v>
      </c>
      <c r="F102" t="s" s="14">
        <v>29</v>
      </c>
      <c r="G102" s="13">
        <v>7</v>
      </c>
      <c r="H102" s="13">
        <v>43.3</v>
      </c>
      <c r="I102" t="s" s="14">
        <v>207</v>
      </c>
      <c r="J102" t="s" s="14">
        <v>208</v>
      </c>
      <c r="K102" s="15"/>
      <c r="L102" s="13">
        <v>145</v>
      </c>
      <c r="M102" s="13">
        <v>-49.3</v>
      </c>
      <c r="N102" s="13">
        <v>183</v>
      </c>
      <c r="O102" s="13">
        <v>121.5</v>
      </c>
      <c r="P102" s="13">
        <v>72.8</v>
      </c>
      <c r="Q102" s="15"/>
      <c r="R102" s="13">
        <v>191.8725</v>
      </c>
      <c r="S102" s="13">
        <v>1211.201165492960</v>
      </c>
      <c r="T102" s="13">
        <v>-15.8213888888889</v>
      </c>
      <c r="U102" s="13">
        <v>2443.102854381850</v>
      </c>
      <c r="V102" s="13">
        <v>176.051111111111</v>
      </c>
      <c r="W102" s="13">
        <v>0.668554898851997</v>
      </c>
      <c r="X102" s="13">
        <v>193.495417016963</v>
      </c>
      <c r="Y102" s="13">
        <f>X102-O102</f>
        <v>71.995417016963</v>
      </c>
      <c r="Z102" s="13">
        <f>Y102*4800/SUM(Y3:Y252)</f>
        <v>24.3896553105519</v>
      </c>
      <c r="AA102" s="15"/>
      <c r="AB102" s="15"/>
    </row>
    <row r="103" ht="8.35" customHeight="1" hidden="1">
      <c r="A103" s="11">
        <v>27</v>
      </c>
      <c r="B103" t="s" s="12">
        <v>152</v>
      </c>
      <c r="C103" s="13">
        <v>92</v>
      </c>
      <c r="D103" s="13">
        <v>4227</v>
      </c>
      <c r="E103" s="13">
        <v>2022</v>
      </c>
      <c r="F103" t="s" s="14">
        <v>29</v>
      </c>
      <c r="G103" s="13">
        <v>7</v>
      </c>
      <c r="H103" s="13">
        <v>137.3</v>
      </c>
      <c r="I103" t="s" s="14">
        <v>168</v>
      </c>
      <c r="J103" t="s" s="14">
        <v>169</v>
      </c>
      <c r="K103" s="15"/>
      <c r="L103" s="13">
        <v>93</v>
      </c>
      <c r="M103" s="13">
        <v>1</v>
      </c>
      <c r="N103" s="13">
        <v>100.5</v>
      </c>
      <c r="O103" s="13">
        <v>22</v>
      </c>
      <c r="P103" s="13">
        <v>70</v>
      </c>
      <c r="Q103" s="15"/>
      <c r="R103" s="13">
        <v>97.2916666666667</v>
      </c>
      <c r="S103" s="13">
        <v>326.128623188406</v>
      </c>
      <c r="T103" s="13">
        <v>29.375</v>
      </c>
      <c r="U103" s="13">
        <v>713.201086956522</v>
      </c>
      <c r="V103" s="13">
        <v>126.666666666667</v>
      </c>
      <c r="W103" s="13">
        <v>0.686212546408464</v>
      </c>
      <c r="X103" s="13">
        <v>93.6604586085886</v>
      </c>
      <c r="Y103" s="13">
        <f>X103-O103</f>
        <v>71.6604586085886</v>
      </c>
      <c r="Z103" s="13">
        <f>Y103*4800/SUM(Y3:Y252)</f>
        <v>24.2761825304484</v>
      </c>
      <c r="AA103" s="15"/>
      <c r="AB103" s="15"/>
    </row>
    <row r="104" ht="20.05" customHeight="1">
      <c r="A104" s="11">
        <v>34</v>
      </c>
      <c r="B104" t="s" s="12">
        <v>152</v>
      </c>
      <c r="C104" s="13">
        <v>92</v>
      </c>
      <c r="D104" s="13">
        <v>2747</v>
      </c>
      <c r="E104" s="13">
        <v>2023</v>
      </c>
      <c r="F104" t="s" s="14">
        <v>29</v>
      </c>
      <c r="G104" s="13">
        <v>9</v>
      </c>
      <c r="H104" s="13">
        <v>168</v>
      </c>
      <c r="I104" t="s" s="14">
        <v>190</v>
      </c>
      <c r="J104" t="s" s="14">
        <v>209</v>
      </c>
      <c r="K104" t="s" s="14">
        <f>_xlfn.CONCAT(LEFT(I104,1),". ",J104)</f>
        <v>210</v>
      </c>
      <c r="L104" s="13">
        <v>151</v>
      </c>
      <c r="M104" s="13">
        <v>59</v>
      </c>
      <c r="N104" s="13">
        <v>100.5</v>
      </c>
      <c r="O104" s="13">
        <v>22</v>
      </c>
      <c r="P104" s="13">
        <v>70</v>
      </c>
      <c r="Q104" s="13">
        <f>P104*4800/SUM(P3:P252)</f>
        <v>22.3655272673053</v>
      </c>
      <c r="R104" s="13">
        <v>97.2916666666667</v>
      </c>
      <c r="S104" s="13">
        <v>326.128623188406</v>
      </c>
      <c r="T104" s="13">
        <v>29.375</v>
      </c>
      <c r="U104" s="13">
        <v>713.201086956522</v>
      </c>
      <c r="V104" s="13">
        <v>126.666666666667</v>
      </c>
      <c r="W104" s="13">
        <v>0.686212546408464</v>
      </c>
      <c r="X104" s="13">
        <v>93.6604586085886</v>
      </c>
      <c r="Y104" s="13">
        <f>X104-O104</f>
        <v>71.6604586085886</v>
      </c>
      <c r="Z104" s="13">
        <f>Y104*4800/SUM(Y3:Y252)</f>
        <v>24.2761825304484</v>
      </c>
      <c r="AA104" s="15"/>
      <c r="AB104" s="13">
        <f>_xlfn.XLOOKUP(K104,AF256:AF398,AH256:AH398)</f>
        <v>1</v>
      </c>
    </row>
    <row r="105" ht="8.35" customHeight="1" hidden="1">
      <c r="A105" s="11">
        <v>33</v>
      </c>
      <c r="B105" t="s" s="12">
        <v>152</v>
      </c>
      <c r="C105" s="13">
        <v>91</v>
      </c>
      <c r="D105" s="13">
        <v>1433</v>
      </c>
      <c r="E105" s="13">
        <v>2022</v>
      </c>
      <c r="F105" t="s" s="14">
        <v>29</v>
      </c>
      <c r="G105" s="13">
        <v>11</v>
      </c>
      <c r="H105" s="13">
        <v>179</v>
      </c>
      <c r="I105" t="s" s="14">
        <v>211</v>
      </c>
      <c r="J105" t="s" s="14">
        <v>212</v>
      </c>
      <c r="K105" s="15"/>
      <c r="L105" s="13">
        <v>125</v>
      </c>
      <c r="M105" s="13">
        <v>34</v>
      </c>
      <c r="N105" s="13">
        <v>100.5</v>
      </c>
      <c r="O105" s="13">
        <v>22</v>
      </c>
      <c r="P105" s="13">
        <v>69</v>
      </c>
      <c r="Q105" s="15"/>
      <c r="R105" s="13">
        <v>97.2916666666667</v>
      </c>
      <c r="S105" s="13">
        <v>326.128623188406</v>
      </c>
      <c r="T105" s="13">
        <v>29.375</v>
      </c>
      <c r="U105" s="13">
        <v>713.201086956522</v>
      </c>
      <c r="V105" s="13">
        <v>126.666666666667</v>
      </c>
      <c r="W105" s="13">
        <v>0.686212546408464</v>
      </c>
      <c r="X105" s="13">
        <v>92.9742460621801</v>
      </c>
      <c r="Y105" s="13">
        <f>X105-O105</f>
        <v>70.9742460621801</v>
      </c>
      <c r="Z105" s="13">
        <f>Y105*4800/SUM(Y3:Y252)</f>
        <v>24.0437165184419</v>
      </c>
      <c r="AA105" s="15"/>
      <c r="AB105" s="15"/>
    </row>
    <row r="106" ht="8.35" customHeight="1" hidden="1">
      <c r="A106" s="11">
        <v>78</v>
      </c>
      <c r="B106" t="s" s="12">
        <v>145</v>
      </c>
      <c r="C106" s="13">
        <v>196.3</v>
      </c>
      <c r="D106" s="13">
        <v>5012</v>
      </c>
      <c r="E106" s="13">
        <v>2022</v>
      </c>
      <c r="F106" t="s" s="14">
        <v>29</v>
      </c>
      <c r="G106" s="13">
        <v>6</v>
      </c>
      <c r="H106" s="13">
        <v>25.1</v>
      </c>
      <c r="I106" t="s" s="14">
        <v>213</v>
      </c>
      <c r="J106" t="s" s="14">
        <v>214</v>
      </c>
      <c r="K106" s="15"/>
      <c r="L106" s="13">
        <v>154</v>
      </c>
      <c r="M106" s="13">
        <v>-42.3</v>
      </c>
      <c r="N106" s="13">
        <v>137.15</v>
      </c>
      <c r="O106" s="13">
        <v>104.6</v>
      </c>
      <c r="P106" s="13">
        <v>91.7</v>
      </c>
      <c r="Q106" s="15"/>
      <c r="R106" s="13">
        <v>143.691666666667</v>
      </c>
      <c r="S106" s="13">
        <v>922.432101449276</v>
      </c>
      <c r="T106" s="13">
        <v>-13.4541666666667</v>
      </c>
      <c r="U106" s="13">
        <v>1365.687807971010</v>
      </c>
      <c r="V106" s="13">
        <v>130.2375</v>
      </c>
      <c r="W106" s="13">
        <v>0.596860244233013</v>
      </c>
      <c r="X106" s="13">
        <v>175.091489348692</v>
      </c>
      <c r="Y106" s="13">
        <f>X106-O106</f>
        <v>70.491489348692</v>
      </c>
      <c r="Z106" s="13">
        <f>Y106*4800/SUM(Y3:Y252)</f>
        <v>23.8801745830149</v>
      </c>
      <c r="AA106" s="15"/>
      <c r="AB106" s="15"/>
    </row>
    <row r="107" ht="20.05" customHeight="1">
      <c r="A107" s="11">
        <v>33</v>
      </c>
      <c r="B107" t="s" s="12">
        <v>152</v>
      </c>
      <c r="C107" s="13">
        <v>90</v>
      </c>
      <c r="D107" s="13">
        <v>1433</v>
      </c>
      <c r="E107" s="13">
        <v>2023</v>
      </c>
      <c r="F107" t="s" s="14">
        <v>29</v>
      </c>
      <c r="G107" s="13">
        <v>11</v>
      </c>
      <c r="H107" s="13">
        <v>167.6</v>
      </c>
      <c r="I107" t="s" s="14">
        <v>211</v>
      </c>
      <c r="J107" t="s" s="14">
        <v>212</v>
      </c>
      <c r="K107" t="s" s="14">
        <f>_xlfn.CONCAT(LEFT(I107,1),". ",J107)</f>
        <v>215</v>
      </c>
      <c r="L107" s="13">
        <v>139</v>
      </c>
      <c r="M107" s="13">
        <v>49</v>
      </c>
      <c r="N107" s="13">
        <v>100.5</v>
      </c>
      <c r="O107" s="13">
        <v>22</v>
      </c>
      <c r="P107" s="13">
        <v>68</v>
      </c>
      <c r="Q107" s="13">
        <f>P107*4800/SUM(P3:P252)</f>
        <v>21.7265122025252</v>
      </c>
      <c r="R107" s="13">
        <v>97.2916666666667</v>
      </c>
      <c r="S107" s="13">
        <v>326.128623188406</v>
      </c>
      <c r="T107" s="13">
        <v>29.375</v>
      </c>
      <c r="U107" s="13">
        <v>713.201086956522</v>
      </c>
      <c r="V107" s="13">
        <v>126.666666666667</v>
      </c>
      <c r="W107" s="13">
        <v>0.686212546408464</v>
      </c>
      <c r="X107" s="13">
        <v>92.2880335157716</v>
      </c>
      <c r="Y107" s="13">
        <f>X107-O107</f>
        <v>70.2880335157716</v>
      </c>
      <c r="Z107" s="13">
        <f>Y107*4800/SUM(Y3:Y252)</f>
        <v>23.8112505064354</v>
      </c>
      <c r="AA107" s="15"/>
      <c r="AB107" s="15">
        <f>_xlfn.XLOOKUP(K107,AF256:AF398,AH256:AH398)</f>
      </c>
    </row>
    <row r="108" ht="20.05" customHeight="1">
      <c r="A108" s="11">
        <v>36</v>
      </c>
      <c r="B108" t="s" s="12">
        <v>152</v>
      </c>
      <c r="C108" s="13">
        <v>90</v>
      </c>
      <c r="D108" s="13">
        <v>8259</v>
      </c>
      <c r="E108" s="13">
        <v>2023</v>
      </c>
      <c r="F108" t="s" s="14">
        <v>29</v>
      </c>
      <c r="G108" s="13">
        <v>2</v>
      </c>
      <c r="H108" s="13">
        <v>181.7</v>
      </c>
      <c r="I108" t="s" s="14">
        <v>216</v>
      </c>
      <c r="J108" t="s" s="14">
        <v>217</v>
      </c>
      <c r="K108" t="s" s="14">
        <f>_xlfn.CONCAT(LEFT(I108,1),". ",J108)</f>
        <v>218</v>
      </c>
      <c r="L108" s="13">
        <v>149</v>
      </c>
      <c r="M108" s="13">
        <v>59</v>
      </c>
      <c r="N108" s="13">
        <v>100.5</v>
      </c>
      <c r="O108" s="13">
        <v>22</v>
      </c>
      <c r="P108" s="13">
        <v>68</v>
      </c>
      <c r="Q108" s="13">
        <f>P108*4800/SUM(P3:P252)</f>
        <v>21.7265122025252</v>
      </c>
      <c r="R108" s="13">
        <v>97.2916666666667</v>
      </c>
      <c r="S108" s="13">
        <v>326.128623188406</v>
      </c>
      <c r="T108" s="13">
        <v>29.375</v>
      </c>
      <c r="U108" s="13">
        <v>713.201086956522</v>
      </c>
      <c r="V108" s="13">
        <v>126.666666666667</v>
      </c>
      <c r="W108" s="13">
        <v>0.686212546408464</v>
      </c>
      <c r="X108" s="13">
        <v>92.2880335157716</v>
      </c>
      <c r="Y108" s="13">
        <f>X108-O108</f>
        <v>70.2880335157716</v>
      </c>
      <c r="Z108" s="13">
        <f>Y108*4800/SUM(Y3:Y252)</f>
        <v>23.8112505064354</v>
      </c>
      <c r="AA108" s="15"/>
      <c r="AB108" s="15">
        <f>_xlfn.XLOOKUP(K108,AF256:AF398,AH256:AH398)</f>
      </c>
    </row>
    <row r="109" ht="20.05" customHeight="1">
      <c r="A109" s="11">
        <v>95</v>
      </c>
      <c r="B109" t="s" s="12">
        <v>46</v>
      </c>
      <c r="C109" s="13">
        <v>191.7</v>
      </c>
      <c r="D109" s="13">
        <v>4039</v>
      </c>
      <c r="E109" s="13">
        <v>2023</v>
      </c>
      <c r="F109" t="s" s="14">
        <v>29</v>
      </c>
      <c r="G109" s="13">
        <v>7</v>
      </c>
      <c r="H109" s="13">
        <v>16.5</v>
      </c>
      <c r="I109" t="s" s="14">
        <v>61</v>
      </c>
      <c r="J109" t="s" s="14">
        <v>62</v>
      </c>
      <c r="K109" t="s" s="14">
        <f>_xlfn.CONCAT(LEFT(I109,1),". ",J109)</f>
        <v>219</v>
      </c>
      <c r="L109" s="13">
        <v>134.9</v>
      </c>
      <c r="M109" s="13">
        <v>-56.8</v>
      </c>
      <c r="N109" s="13">
        <v>183</v>
      </c>
      <c r="O109" s="13">
        <v>121.5</v>
      </c>
      <c r="P109" s="13">
        <v>70.2</v>
      </c>
      <c r="Q109" s="13">
        <f>P109*4800/SUM(P3:P252)</f>
        <v>22.4294287737833</v>
      </c>
      <c r="R109" s="13">
        <v>191.8725</v>
      </c>
      <c r="S109" s="13">
        <v>1211.201165492960</v>
      </c>
      <c r="T109" s="13">
        <v>-15.8213888888889</v>
      </c>
      <c r="U109" s="13">
        <v>2443.102854381850</v>
      </c>
      <c r="V109" s="13">
        <v>176.051111111111</v>
      </c>
      <c r="W109" s="13">
        <v>0.668554898851997</v>
      </c>
      <c r="X109" s="16">
        <v>191.757174279948</v>
      </c>
      <c r="Y109" s="13">
        <f>X109-O109</f>
        <v>70.257174279948</v>
      </c>
      <c r="Z109" s="13">
        <f>Y109*4800/SUM(Y3:Y252)</f>
        <v>23.8007964226052</v>
      </c>
      <c r="AA109" s="15"/>
      <c r="AB109" s="13">
        <f>_xlfn.XLOOKUP(K109,AF256:AF398,AH256:AH398)</f>
        <v>47</v>
      </c>
    </row>
    <row r="110" ht="8.35" customHeight="1" hidden="1">
      <c r="A110" s="11">
        <v>113</v>
      </c>
      <c r="B110" t="s" s="12">
        <v>46</v>
      </c>
      <c r="C110" s="13">
        <v>189.2</v>
      </c>
      <c r="D110" s="13">
        <v>7547</v>
      </c>
      <c r="E110" s="13">
        <v>2022</v>
      </c>
      <c r="F110" t="s" s="14">
        <v>29</v>
      </c>
      <c r="G110" s="13">
        <v>3</v>
      </c>
      <c r="H110" s="13">
        <v>64.59999999999999</v>
      </c>
      <c r="I110" t="s" s="14">
        <v>157</v>
      </c>
      <c r="J110" t="s" s="14">
        <v>158</v>
      </c>
      <c r="K110" s="15"/>
      <c r="L110" s="13">
        <v>214.6</v>
      </c>
      <c r="M110" s="13">
        <v>25.4</v>
      </c>
      <c r="N110" s="13">
        <v>183</v>
      </c>
      <c r="O110" s="13">
        <v>121.5</v>
      </c>
      <c r="P110" s="13">
        <v>67.7</v>
      </c>
      <c r="Q110" s="15"/>
      <c r="R110" s="13">
        <v>191.8725</v>
      </c>
      <c r="S110" s="13">
        <v>1211.201165492960</v>
      </c>
      <c r="T110" s="13">
        <v>-15.8213888888889</v>
      </c>
      <c r="U110" s="13">
        <v>2443.102854381850</v>
      </c>
      <c r="V110" s="13">
        <v>176.051111111111</v>
      </c>
      <c r="W110" s="13">
        <v>0.668554898851997</v>
      </c>
      <c r="X110" s="13">
        <v>190.085787032818</v>
      </c>
      <c r="Y110" s="13">
        <f>X110-O110</f>
        <v>68.585787032818</v>
      </c>
      <c r="Z110" s="13">
        <f>Y110*4800/SUM(Y3:Y252)</f>
        <v>23.2345859534257</v>
      </c>
      <c r="AA110" s="15"/>
      <c r="AB110" s="15"/>
    </row>
    <row r="111" ht="20.05" customHeight="1">
      <c r="A111" s="11">
        <v>103</v>
      </c>
      <c r="B111" t="s" s="12">
        <v>46</v>
      </c>
      <c r="C111" s="13">
        <v>188.7</v>
      </c>
      <c r="D111" s="13">
        <v>5872</v>
      </c>
      <c r="E111" s="13">
        <v>2023</v>
      </c>
      <c r="F111" t="s" s="14">
        <v>29</v>
      </c>
      <c r="G111" s="13">
        <v>5</v>
      </c>
      <c r="H111" s="13">
        <v>35.4</v>
      </c>
      <c r="I111" t="s" s="14">
        <v>176</v>
      </c>
      <c r="J111" t="s" s="14">
        <v>177</v>
      </c>
      <c r="K111" t="s" s="14">
        <f>_xlfn.CONCAT(LEFT(I111,1),". ",J111)</f>
        <v>220</v>
      </c>
      <c r="L111" s="13">
        <v>213.7</v>
      </c>
      <c r="M111" s="13">
        <v>25</v>
      </c>
      <c r="N111" s="13">
        <v>183</v>
      </c>
      <c r="O111" s="13">
        <v>121.5</v>
      </c>
      <c r="P111" s="13">
        <v>67.2</v>
      </c>
      <c r="Q111" s="13">
        <f>P111*4800/SUM(P3:P252)</f>
        <v>21.4709061766131</v>
      </c>
      <c r="R111" s="13">
        <v>191.8725</v>
      </c>
      <c r="S111" s="13">
        <v>1211.201165492960</v>
      </c>
      <c r="T111" s="13">
        <v>-15.8213888888889</v>
      </c>
      <c r="U111" s="13">
        <v>2443.102854381850</v>
      </c>
      <c r="V111" s="13">
        <v>176.051111111111</v>
      </c>
      <c r="W111" s="13">
        <v>0.668554898851997</v>
      </c>
      <c r="X111" s="13">
        <v>189.751509583392</v>
      </c>
      <c r="Y111" s="13">
        <f>X111-O111</f>
        <v>68.25150958339199</v>
      </c>
      <c r="Z111" s="13">
        <f>Y111*4800/SUM(Y3:Y252)</f>
        <v>23.1213438595897</v>
      </c>
      <c r="AA111" s="15"/>
      <c r="AB111" s="13">
        <f>_xlfn.XLOOKUP(K111,AF256:AF398,AH256:AH398)</f>
        <v>18</v>
      </c>
    </row>
    <row r="112" ht="8.35" customHeight="1" hidden="1">
      <c r="A112" s="11">
        <v>36</v>
      </c>
      <c r="B112" t="s" s="12">
        <v>152</v>
      </c>
      <c r="C112" s="13">
        <v>87</v>
      </c>
      <c r="D112" s="13">
        <v>391</v>
      </c>
      <c r="E112" s="13">
        <v>2022</v>
      </c>
      <c r="F112" t="s" s="14">
        <v>29</v>
      </c>
      <c r="G112" s="13">
        <v>14</v>
      </c>
      <c r="H112" s="13">
        <v>198.5</v>
      </c>
      <c r="I112" t="s" s="14">
        <v>221</v>
      </c>
      <c r="J112" t="s" s="14">
        <v>222</v>
      </c>
      <c r="K112" s="15"/>
      <c r="L112" s="13">
        <v>125</v>
      </c>
      <c r="M112" s="13">
        <v>38</v>
      </c>
      <c r="N112" s="13">
        <v>100.5</v>
      </c>
      <c r="O112" s="13">
        <v>22</v>
      </c>
      <c r="P112" s="13">
        <v>65</v>
      </c>
      <c r="Q112" s="15"/>
      <c r="R112" s="13">
        <v>97.2916666666667</v>
      </c>
      <c r="S112" s="13">
        <v>326.128623188406</v>
      </c>
      <c r="T112" s="13">
        <v>29.375</v>
      </c>
      <c r="U112" s="13">
        <v>713.201086956522</v>
      </c>
      <c r="V112" s="13">
        <v>126.666666666667</v>
      </c>
      <c r="W112" s="13">
        <v>0.686212546408464</v>
      </c>
      <c r="X112" s="13">
        <v>90.22939587654621</v>
      </c>
      <c r="Y112" s="13">
        <f>X112-O112</f>
        <v>68.22939587654621</v>
      </c>
      <c r="Z112" s="13">
        <f>Y112*4800/SUM(Y3:Y252)</f>
        <v>23.1138524704159</v>
      </c>
      <c r="AA112" s="15"/>
      <c r="AB112" s="15"/>
    </row>
    <row r="113" ht="20.05" customHeight="1">
      <c r="A113" s="11">
        <v>113</v>
      </c>
      <c r="B113" t="s" s="12">
        <v>46</v>
      </c>
      <c r="C113" s="13">
        <v>187.9</v>
      </c>
      <c r="D113" s="13">
        <v>4037</v>
      </c>
      <c r="E113" s="13">
        <v>2023</v>
      </c>
      <c r="F113" t="s" s="14">
        <v>29</v>
      </c>
      <c r="G113" s="13">
        <v>7</v>
      </c>
      <c r="H113" s="13">
        <v>65.90000000000001</v>
      </c>
      <c r="I113" t="s" s="14">
        <v>198</v>
      </c>
      <c r="J113" t="s" s="14">
        <v>223</v>
      </c>
      <c r="K113" t="s" s="14">
        <f>_xlfn.CONCAT(LEFT(I113,1),". ",J113)</f>
        <v>224</v>
      </c>
      <c r="L113" s="13">
        <v>167.7</v>
      </c>
      <c r="M113" s="13">
        <v>-20.2</v>
      </c>
      <c r="N113" s="13">
        <v>183</v>
      </c>
      <c r="O113" s="13">
        <v>121.5</v>
      </c>
      <c r="P113" s="13">
        <v>66.40000000000001</v>
      </c>
      <c r="Q113" s="13">
        <f>P113*4800/SUM(P3:P252)</f>
        <v>21.2153001507011</v>
      </c>
      <c r="R113" s="13">
        <v>191.8725</v>
      </c>
      <c r="S113" s="13">
        <v>1211.201165492960</v>
      </c>
      <c r="T113" s="13">
        <v>-15.8213888888889</v>
      </c>
      <c r="U113" s="13">
        <v>2443.102854381850</v>
      </c>
      <c r="V113" s="13">
        <v>176.051111111111</v>
      </c>
      <c r="W113" s="13">
        <v>0.668554898851997</v>
      </c>
      <c r="X113" s="13">
        <v>189.216665664310</v>
      </c>
      <c r="Y113" s="13">
        <f>X113-O113</f>
        <v>67.716665664310</v>
      </c>
      <c r="Z113" s="13">
        <f>Y113*4800/SUM(Y3:Y252)</f>
        <v>22.9401565094522</v>
      </c>
      <c r="AA113" s="15"/>
      <c r="AB113" s="13">
        <f>_xlfn.XLOOKUP(K113,AF256:AF398,AH256:AH398)</f>
        <v>14</v>
      </c>
    </row>
    <row r="114" ht="20.05" customHeight="1">
      <c r="A114" s="11">
        <v>104</v>
      </c>
      <c r="B114" t="s" s="12">
        <v>46</v>
      </c>
      <c r="C114" s="13">
        <v>186.8</v>
      </c>
      <c r="D114" s="13">
        <v>5846</v>
      </c>
      <c r="E114" s="13">
        <v>2023</v>
      </c>
      <c r="F114" t="s" s="14">
        <v>29</v>
      </c>
      <c r="G114" s="13">
        <v>5</v>
      </c>
      <c r="H114" s="13">
        <v>35.9</v>
      </c>
      <c r="I114" t="s" s="14">
        <v>225</v>
      </c>
      <c r="J114" t="s" s="14">
        <v>226</v>
      </c>
      <c r="K114" t="s" s="14">
        <f>_xlfn.CONCAT(LEFT(I114,1),". ",J114)</f>
        <v>227</v>
      </c>
      <c r="L114" s="13">
        <v>192.4</v>
      </c>
      <c r="M114" s="13">
        <v>5.59999999999999</v>
      </c>
      <c r="N114" s="13">
        <v>183</v>
      </c>
      <c r="O114" s="13">
        <v>121.5</v>
      </c>
      <c r="P114" s="13">
        <v>65.3</v>
      </c>
      <c r="Q114" s="13">
        <f>P114*4800/SUM(P3:P252)</f>
        <v>20.863841865072</v>
      </c>
      <c r="R114" s="13">
        <v>191.8725</v>
      </c>
      <c r="S114" s="13">
        <v>1211.201165492960</v>
      </c>
      <c r="T114" s="13">
        <v>-15.8213888888889</v>
      </c>
      <c r="U114" s="13">
        <v>2443.102854381850</v>
      </c>
      <c r="V114" s="13">
        <v>176.051111111111</v>
      </c>
      <c r="W114" s="13">
        <v>0.668554898851997</v>
      </c>
      <c r="X114" s="13">
        <v>188.481255275573</v>
      </c>
      <c r="Y114" s="13">
        <f>X114-O114</f>
        <v>66.98125527557301</v>
      </c>
      <c r="Z114" s="13">
        <f>Y114*4800/SUM(Y3:Y252)</f>
        <v>22.6910239030132</v>
      </c>
      <c r="AA114" t="s" s="14">
        <v>87</v>
      </c>
      <c r="AB114" s="13">
        <f>_xlfn.XLOOKUP(K114,AF256:AF398,AH256:AH398)</f>
        <v>26</v>
      </c>
    </row>
    <row r="115" ht="20.05" customHeight="1">
      <c r="A115" s="11">
        <v>46</v>
      </c>
      <c r="B115" t="s" s="12">
        <v>75</v>
      </c>
      <c r="C115" s="13">
        <v>317.26</v>
      </c>
      <c r="D115" s="13">
        <v>6797</v>
      </c>
      <c r="E115" s="13">
        <v>2023</v>
      </c>
      <c r="F115" t="s" s="14">
        <v>29</v>
      </c>
      <c r="G115" s="13">
        <v>4</v>
      </c>
      <c r="H115" s="13">
        <v>44.3</v>
      </c>
      <c r="I115" t="s" s="14">
        <v>47</v>
      </c>
      <c r="J115" t="s" s="14">
        <v>165</v>
      </c>
      <c r="K115" t="s" s="14">
        <f>_xlfn.CONCAT(LEFT(I115,1),". ",J115)</f>
        <v>228</v>
      </c>
      <c r="L115" s="13">
        <v>240.66</v>
      </c>
      <c r="M115" s="13">
        <v>-76.59999999999999</v>
      </c>
      <c r="N115" s="13">
        <v>332.28</v>
      </c>
      <c r="O115" s="13">
        <v>253.94</v>
      </c>
      <c r="P115" s="13">
        <v>63.32</v>
      </c>
      <c r="Q115" s="13">
        <f>P115*4800/SUM(P3:P252)</f>
        <v>20.2312169509396</v>
      </c>
      <c r="R115" s="13">
        <v>331.717272727273</v>
      </c>
      <c r="S115" s="13">
        <v>1529.024316017320</v>
      </c>
      <c r="T115" s="13">
        <v>-42.8909090909091</v>
      </c>
      <c r="U115" s="16">
        <v>5503.577170562770</v>
      </c>
      <c r="V115" s="13">
        <v>276.810434782609</v>
      </c>
      <c r="W115" s="13">
        <v>0.782580554445596</v>
      </c>
      <c r="X115" s="13">
        <v>320.403292220592</v>
      </c>
      <c r="Y115" s="13">
        <f>X115-O115</f>
        <v>66.463292220592</v>
      </c>
      <c r="Z115" s="13">
        <f>Y115*4800/SUM(Y3:Y252)</f>
        <v>22.5155552287834</v>
      </c>
      <c r="AA115" s="15"/>
      <c r="AB115" s="13">
        <f>_xlfn.XLOOKUP(K115,AF256:AF398,AH256:AH398)</f>
        <v>10</v>
      </c>
    </row>
    <row r="116" ht="20.05" customHeight="1">
      <c r="A116" s="11">
        <v>118</v>
      </c>
      <c r="B116" t="s" s="12">
        <v>46</v>
      </c>
      <c r="C116" s="13">
        <v>185.5</v>
      </c>
      <c r="D116" s="13">
        <v>2216</v>
      </c>
      <c r="E116" s="13">
        <v>2023</v>
      </c>
      <c r="F116" t="s" s="14">
        <v>29</v>
      </c>
      <c r="G116" s="13">
        <v>10</v>
      </c>
      <c r="H116" s="13">
        <v>74</v>
      </c>
      <c r="I116" t="s" s="14">
        <v>207</v>
      </c>
      <c r="J116" t="s" s="14">
        <v>229</v>
      </c>
      <c r="K116" t="s" s="14">
        <f>_xlfn.CONCAT(LEFT(I116,1),". ",J116)</f>
        <v>230</v>
      </c>
      <c r="L116" s="13">
        <v>243</v>
      </c>
      <c r="M116" s="13">
        <v>57.5</v>
      </c>
      <c r="N116" s="13">
        <v>183</v>
      </c>
      <c r="O116" s="13">
        <v>121.5</v>
      </c>
      <c r="P116" s="13">
        <v>64</v>
      </c>
      <c r="Q116" s="13">
        <f>P116*4800/SUM(P3:P252)</f>
        <v>20.4484820729649</v>
      </c>
      <c r="R116" s="13">
        <v>191.8725</v>
      </c>
      <c r="S116" s="13">
        <v>1211.201165492960</v>
      </c>
      <c r="T116" s="13">
        <v>-15.8213888888889</v>
      </c>
      <c r="U116" s="13">
        <v>2443.102854381850</v>
      </c>
      <c r="V116" s="13">
        <v>176.051111111111</v>
      </c>
      <c r="W116" s="13">
        <v>0.668554898851997</v>
      </c>
      <c r="X116" s="13">
        <v>187.612133907066</v>
      </c>
      <c r="Y116" s="13">
        <f>X116-O116</f>
        <v>66.112133907066</v>
      </c>
      <c r="Z116" s="13">
        <f>Y116*4800/SUM(Y3:Y252)</f>
        <v>22.396594459040</v>
      </c>
      <c r="AA116" s="15"/>
      <c r="AB116" s="13">
        <f>_xlfn.XLOOKUP(K116,AF256:AF398,AH256:AH398)</f>
        <v>12</v>
      </c>
    </row>
    <row r="117" ht="20.05" customHeight="1">
      <c r="A117" s="11">
        <v>109</v>
      </c>
      <c r="B117" t="s" s="12">
        <v>46</v>
      </c>
      <c r="C117" s="13">
        <v>184.5</v>
      </c>
      <c r="D117" s="13">
        <v>4983</v>
      </c>
      <c r="E117" s="13">
        <v>2023</v>
      </c>
      <c r="F117" t="s" s="14">
        <v>29</v>
      </c>
      <c r="G117" s="13">
        <v>6</v>
      </c>
      <c r="H117" s="13">
        <v>50.9</v>
      </c>
      <c r="I117" t="s" s="14">
        <v>231</v>
      </c>
      <c r="J117" t="s" s="14">
        <v>232</v>
      </c>
      <c r="K117" t="s" s="14">
        <f>_xlfn.CONCAT(LEFT(I117,1),". ",J117)</f>
        <v>233</v>
      </c>
      <c r="L117" s="13">
        <v>239.5</v>
      </c>
      <c r="M117" s="13">
        <v>55</v>
      </c>
      <c r="N117" s="13">
        <v>183</v>
      </c>
      <c r="O117" s="13">
        <v>121.5</v>
      </c>
      <c r="P117" s="13">
        <v>63</v>
      </c>
      <c r="Q117" s="13">
        <f>P117*4800/SUM(P3:P252)</f>
        <v>20.1289745405748</v>
      </c>
      <c r="R117" s="13">
        <v>191.8725</v>
      </c>
      <c r="S117" s="13">
        <v>1211.201165492960</v>
      </c>
      <c r="T117" s="13">
        <v>-15.8213888888889</v>
      </c>
      <c r="U117" s="13">
        <v>2443.102854381850</v>
      </c>
      <c r="V117" s="13">
        <v>176.051111111111</v>
      </c>
      <c r="W117" s="13">
        <v>0.668554898851997</v>
      </c>
      <c r="X117" s="13">
        <v>186.943579008214</v>
      </c>
      <c r="Y117" s="13">
        <f>X117-O117</f>
        <v>65.443579008214</v>
      </c>
      <c r="Z117" s="13">
        <f>Y117*4800/SUM(Y3:Y252)</f>
        <v>22.1701102713682</v>
      </c>
      <c r="AA117" s="15"/>
      <c r="AB117" s="13">
        <f>_xlfn.XLOOKUP(K117,AF256:AF398,AH256:AH398)</f>
        <v>18</v>
      </c>
    </row>
    <row r="118" ht="20.05" customHeight="1">
      <c r="A118" s="11">
        <v>107</v>
      </c>
      <c r="B118" t="s" s="12">
        <v>46</v>
      </c>
      <c r="C118" s="13">
        <v>184.3</v>
      </c>
      <c r="D118" s="13">
        <v>2309</v>
      </c>
      <c r="E118" s="13">
        <v>2023</v>
      </c>
      <c r="F118" t="s" s="14">
        <v>29</v>
      </c>
      <c r="G118" s="13">
        <v>9</v>
      </c>
      <c r="H118" s="13">
        <v>43.2</v>
      </c>
      <c r="I118" t="s" s="14">
        <v>234</v>
      </c>
      <c r="J118" t="s" s="14">
        <v>61</v>
      </c>
      <c r="K118" t="s" s="14">
        <f>_xlfn.CONCAT(LEFT(I118,1),". ",J118)</f>
        <v>235</v>
      </c>
      <c r="L118" s="13">
        <v>191</v>
      </c>
      <c r="M118" s="13">
        <v>6.69999999999999</v>
      </c>
      <c r="N118" s="13">
        <v>183</v>
      </c>
      <c r="O118" s="13">
        <v>121.5</v>
      </c>
      <c r="P118" s="13">
        <v>62.8</v>
      </c>
      <c r="Q118" s="13">
        <f>P118*4800/SUM(P3:P252)</f>
        <v>20.0650730340968</v>
      </c>
      <c r="R118" s="13">
        <v>191.8725</v>
      </c>
      <c r="S118" s="13">
        <v>1211.201165492960</v>
      </c>
      <c r="T118" s="13">
        <v>-15.8213888888889</v>
      </c>
      <c r="U118" s="13">
        <v>2443.102854381850</v>
      </c>
      <c r="V118" s="13">
        <v>176.051111111111</v>
      </c>
      <c r="W118" s="13">
        <v>0.668554898851997</v>
      </c>
      <c r="X118" s="13">
        <v>186.809868028443</v>
      </c>
      <c r="Y118" s="13">
        <f>X118-O118</f>
        <v>65.30986802844301</v>
      </c>
      <c r="Z118" s="13">
        <f>Y118*4800/SUM(Y3:Y252)</f>
        <v>22.1248134338336</v>
      </c>
      <c r="AA118" s="15"/>
      <c r="AB118" s="13">
        <f>_xlfn.XLOOKUP(K118,AF256:AF398,AH256:AH398)</f>
        <v>29</v>
      </c>
    </row>
    <row r="119" ht="8.35" customHeight="1" hidden="1">
      <c r="A119" s="11">
        <v>105</v>
      </c>
      <c r="B119" t="s" s="12">
        <v>46</v>
      </c>
      <c r="C119" s="13">
        <v>184</v>
      </c>
      <c r="D119" s="13">
        <v>5045</v>
      </c>
      <c r="E119" s="13">
        <v>2022</v>
      </c>
      <c r="F119" t="s" s="14">
        <v>29</v>
      </c>
      <c r="G119" s="13">
        <v>6</v>
      </c>
      <c r="H119" s="13">
        <v>44.7</v>
      </c>
      <c r="I119" t="s" s="14">
        <v>236</v>
      </c>
      <c r="J119" t="s" s="14">
        <v>237</v>
      </c>
      <c r="K119" s="15"/>
      <c r="L119" s="13">
        <v>127.4</v>
      </c>
      <c r="M119" s="13">
        <v>-56.6</v>
      </c>
      <c r="N119" s="13">
        <v>183</v>
      </c>
      <c r="O119" s="13">
        <v>121.5</v>
      </c>
      <c r="P119" s="13">
        <v>62.5</v>
      </c>
      <c r="Q119" s="15"/>
      <c r="R119" s="13">
        <v>191.8725</v>
      </c>
      <c r="S119" s="13">
        <v>1211.201165492960</v>
      </c>
      <c r="T119" s="13">
        <v>-15.8213888888889</v>
      </c>
      <c r="U119" s="13">
        <v>2443.102854381850</v>
      </c>
      <c r="V119" s="13">
        <v>176.051111111111</v>
      </c>
      <c r="W119" s="13">
        <v>0.668554898851997</v>
      </c>
      <c r="X119" s="13">
        <v>186.609301558788</v>
      </c>
      <c r="Y119" s="13">
        <f>X119-O119</f>
        <v>65.109301558788</v>
      </c>
      <c r="Z119" s="13">
        <f>Y119*4800/SUM(Y3:Y252)</f>
        <v>22.0568681775323</v>
      </c>
      <c r="AA119" s="15"/>
      <c r="AB119" s="15"/>
    </row>
    <row r="120" ht="8.35" customHeight="1" hidden="1">
      <c r="A120" s="11">
        <v>119</v>
      </c>
      <c r="B120" t="s" s="12">
        <v>46</v>
      </c>
      <c r="C120" s="13">
        <v>183.1</v>
      </c>
      <c r="D120" s="13">
        <v>2309</v>
      </c>
      <c r="E120" s="13">
        <v>2022</v>
      </c>
      <c r="F120" t="s" s="14">
        <v>29</v>
      </c>
      <c r="G120" s="13">
        <v>9</v>
      </c>
      <c r="H120" s="13">
        <v>69.09999999999999</v>
      </c>
      <c r="I120" t="s" s="14">
        <v>234</v>
      </c>
      <c r="J120" t="s" s="14">
        <v>61</v>
      </c>
      <c r="K120" s="15"/>
      <c r="L120" s="13">
        <v>208</v>
      </c>
      <c r="M120" s="13">
        <v>24.9</v>
      </c>
      <c r="N120" s="13">
        <v>183</v>
      </c>
      <c r="O120" s="13">
        <v>121.5</v>
      </c>
      <c r="P120" s="13">
        <v>61.6</v>
      </c>
      <c r="Q120" s="15"/>
      <c r="R120" s="13">
        <v>191.8725</v>
      </c>
      <c r="S120" s="13">
        <v>1211.201165492960</v>
      </c>
      <c r="T120" s="13">
        <v>-15.8213888888889</v>
      </c>
      <c r="U120" s="13">
        <v>2443.102854381850</v>
      </c>
      <c r="V120" s="13">
        <v>176.051111111111</v>
      </c>
      <c r="W120" s="13">
        <v>0.668554898851997</v>
      </c>
      <c r="X120" s="13">
        <v>186.007602149821</v>
      </c>
      <c r="Y120" s="13">
        <f>X120-O120</f>
        <v>64.507602149821</v>
      </c>
      <c r="Z120" s="13">
        <f>Y120*4800/SUM(Y3:Y252)</f>
        <v>21.8530324086276</v>
      </c>
      <c r="AA120" s="15"/>
      <c r="AB120" s="15"/>
    </row>
    <row r="121" ht="8.35" customHeight="1" hidden="1">
      <c r="A121" s="11">
        <v>116</v>
      </c>
      <c r="B121" t="s" s="12">
        <v>46</v>
      </c>
      <c r="C121" s="13">
        <v>182.9</v>
      </c>
      <c r="D121" s="13">
        <v>3199</v>
      </c>
      <c r="E121" s="13">
        <v>2022</v>
      </c>
      <c r="F121" t="s" s="14">
        <v>29</v>
      </c>
      <c r="G121" s="13">
        <v>8</v>
      </c>
      <c r="H121" s="13">
        <v>67.59999999999999</v>
      </c>
      <c r="I121" t="s" s="14">
        <v>238</v>
      </c>
      <c r="J121" t="s" s="14">
        <v>239</v>
      </c>
      <c r="K121" s="15"/>
      <c r="L121" s="13">
        <v>43.1</v>
      </c>
      <c r="M121" s="13">
        <v>-139.8</v>
      </c>
      <c r="N121" s="13">
        <v>183</v>
      </c>
      <c r="O121" s="13">
        <v>121.5</v>
      </c>
      <c r="P121" s="13">
        <v>61.4</v>
      </c>
      <c r="Q121" s="15"/>
      <c r="R121" s="13">
        <v>191.8725</v>
      </c>
      <c r="S121" s="13">
        <v>1211.201165492960</v>
      </c>
      <c r="T121" s="13">
        <v>-15.8213888888889</v>
      </c>
      <c r="U121" s="13">
        <v>2443.102854381850</v>
      </c>
      <c r="V121" s="13">
        <v>176.051111111111</v>
      </c>
      <c r="W121" s="13">
        <v>0.668554898851997</v>
      </c>
      <c r="X121" s="13">
        <v>185.873891170050</v>
      </c>
      <c r="Y121" s="13">
        <f>X121-O121</f>
        <v>64.373891170050</v>
      </c>
      <c r="Z121" s="13">
        <f>Y121*4800/SUM(Y3:Y252)</f>
        <v>21.807735571093</v>
      </c>
      <c r="AA121" s="15"/>
      <c r="AB121" s="15"/>
    </row>
    <row r="122" ht="20.05" customHeight="1">
      <c r="A122" s="11">
        <v>106</v>
      </c>
      <c r="B122" t="s" s="12">
        <v>46</v>
      </c>
      <c r="C122" s="13">
        <v>182.2</v>
      </c>
      <c r="D122" s="13">
        <v>1479</v>
      </c>
      <c r="E122" s="13">
        <v>2023</v>
      </c>
      <c r="F122" t="s" s="14">
        <v>29</v>
      </c>
      <c r="G122" s="13">
        <v>11</v>
      </c>
      <c r="H122" s="13">
        <v>41.6</v>
      </c>
      <c r="I122" t="s" s="14">
        <v>240</v>
      </c>
      <c r="J122" t="s" s="14">
        <v>76</v>
      </c>
      <c r="K122" t="s" s="14">
        <f>_xlfn.CONCAT(LEFT(I122,1),". ",J122)</f>
        <v>241</v>
      </c>
      <c r="L122" s="13">
        <v>224.86</v>
      </c>
      <c r="M122" s="13">
        <v>42.66</v>
      </c>
      <c r="N122" s="13">
        <v>183</v>
      </c>
      <c r="O122" s="13">
        <v>121.5</v>
      </c>
      <c r="P122" s="13">
        <v>60.7</v>
      </c>
      <c r="Q122" s="13">
        <f>P122*4800/SUM(P3:P252)</f>
        <v>19.3941072160776</v>
      </c>
      <c r="R122" s="13">
        <v>191.8725</v>
      </c>
      <c r="S122" s="13">
        <v>1211.201165492960</v>
      </c>
      <c r="T122" s="13">
        <v>-15.8213888888889</v>
      </c>
      <c r="U122" s="13">
        <v>2443.102854381850</v>
      </c>
      <c r="V122" s="13">
        <v>176.051111111111</v>
      </c>
      <c r="W122" s="13">
        <v>0.668554898851997</v>
      </c>
      <c r="X122" s="13">
        <v>185.405902740854</v>
      </c>
      <c r="Y122" s="13">
        <f>X122-O122</f>
        <v>63.905902740854</v>
      </c>
      <c r="Z122" s="13">
        <f>Y122*4800/SUM(Y3:Y252)</f>
        <v>21.6491966397229</v>
      </c>
      <c r="AA122" s="15"/>
      <c r="AB122" s="13">
        <f>_xlfn.XLOOKUP(K122,AF256:AF398,AH256:AH398)</f>
        <v>20</v>
      </c>
    </row>
    <row r="123" ht="8.35" customHeight="1" hidden="1">
      <c r="A123" s="11">
        <v>97</v>
      </c>
      <c r="B123" t="s" s="12">
        <v>46</v>
      </c>
      <c r="C123" s="13">
        <v>182.1</v>
      </c>
      <c r="D123" s="13">
        <v>2216</v>
      </c>
      <c r="E123" s="13">
        <v>2022</v>
      </c>
      <c r="F123" t="s" s="14">
        <v>29</v>
      </c>
      <c r="G123" s="13">
        <v>10</v>
      </c>
      <c r="H123" s="13">
        <v>26.1</v>
      </c>
      <c r="I123" t="s" s="14">
        <v>207</v>
      </c>
      <c r="J123" t="s" s="14">
        <v>229</v>
      </c>
      <c r="K123" s="15"/>
      <c r="L123" s="13">
        <v>186.9</v>
      </c>
      <c r="M123" s="13">
        <v>4.80000000000001</v>
      </c>
      <c r="N123" s="13">
        <v>183</v>
      </c>
      <c r="O123" s="13">
        <v>121.5</v>
      </c>
      <c r="P123" s="13">
        <v>60.6</v>
      </c>
      <c r="Q123" s="15"/>
      <c r="R123" s="13">
        <v>191.8725</v>
      </c>
      <c r="S123" s="13">
        <v>1211.201165492960</v>
      </c>
      <c r="T123" s="13">
        <v>-15.8213888888889</v>
      </c>
      <c r="U123" s="13">
        <v>2443.102854381850</v>
      </c>
      <c r="V123" s="13">
        <v>176.051111111111</v>
      </c>
      <c r="W123" s="13">
        <v>0.668554898851997</v>
      </c>
      <c r="X123" s="13">
        <v>185.339047250969</v>
      </c>
      <c r="Y123" s="13">
        <f>X123-O123</f>
        <v>63.839047250969</v>
      </c>
      <c r="Z123" s="13">
        <f>Y123*4800/SUM(Y3:Y252)</f>
        <v>21.6265482209558</v>
      </c>
      <c r="AA123" s="15"/>
      <c r="AB123" s="15"/>
    </row>
    <row r="124" ht="20.05" customHeight="1">
      <c r="A124" s="11">
        <v>111</v>
      </c>
      <c r="B124" t="s" s="12">
        <v>46</v>
      </c>
      <c r="C124" s="13">
        <v>182.1</v>
      </c>
      <c r="D124" s="13">
        <v>8112</v>
      </c>
      <c r="E124" s="13">
        <v>2023</v>
      </c>
      <c r="F124" t="s" s="14">
        <v>29</v>
      </c>
      <c r="G124" s="13">
        <v>2</v>
      </c>
      <c r="H124" s="13">
        <v>56.4</v>
      </c>
      <c r="I124" t="s" s="14">
        <v>242</v>
      </c>
      <c r="J124" t="s" s="14">
        <v>243</v>
      </c>
      <c r="K124" t="s" s="14">
        <f>_xlfn.CONCAT(LEFT(I124,1),". ",J124)</f>
        <v>244</v>
      </c>
      <c r="L124" s="13">
        <v>139.88</v>
      </c>
      <c r="M124" s="13">
        <v>-42.22</v>
      </c>
      <c r="N124" s="13">
        <v>183</v>
      </c>
      <c r="O124" s="13">
        <v>121.5</v>
      </c>
      <c r="P124" s="13">
        <v>60.6</v>
      </c>
      <c r="Q124" s="13">
        <f>P124*4800/SUM(P3:P252)</f>
        <v>19.3621564628386</v>
      </c>
      <c r="R124" s="13">
        <v>191.8725</v>
      </c>
      <c r="S124" s="13">
        <v>1211.201165492960</v>
      </c>
      <c r="T124" s="13">
        <v>-15.8213888888889</v>
      </c>
      <c r="U124" s="13">
        <v>2443.102854381850</v>
      </c>
      <c r="V124" s="13">
        <v>176.051111111111</v>
      </c>
      <c r="W124" s="13">
        <v>0.668554898851997</v>
      </c>
      <c r="X124" s="13">
        <v>185.339047250969</v>
      </c>
      <c r="Y124" s="13">
        <f>X124-O124</f>
        <v>63.839047250969</v>
      </c>
      <c r="Z124" s="13">
        <f>Y124*4800/SUM(Y3:Y252)</f>
        <v>21.6265482209558</v>
      </c>
      <c r="AA124" s="15"/>
      <c r="AB124" s="13">
        <f>_xlfn.XLOOKUP(K124,AF256:AF398,AH256:AH398)</f>
        <v>18</v>
      </c>
    </row>
    <row r="125" ht="20.05" customHeight="1">
      <c r="A125" s="11">
        <v>110</v>
      </c>
      <c r="B125" t="s" s="12">
        <v>46</v>
      </c>
      <c r="C125" s="13">
        <v>182</v>
      </c>
      <c r="D125" s="13">
        <v>5927</v>
      </c>
      <c r="E125" s="13">
        <v>2023</v>
      </c>
      <c r="F125" t="s" s="14">
        <v>29</v>
      </c>
      <c r="G125" s="13">
        <v>5</v>
      </c>
      <c r="H125" s="13">
        <v>53.6</v>
      </c>
      <c r="I125" t="s" s="14">
        <v>245</v>
      </c>
      <c r="J125" t="s" s="14">
        <v>246</v>
      </c>
      <c r="K125" t="s" s="14">
        <f>_xlfn.CONCAT(LEFT(I125,1),". ",J125)</f>
        <v>247</v>
      </c>
      <c r="L125" s="13">
        <v>169.7</v>
      </c>
      <c r="M125" s="13">
        <v>-12.3</v>
      </c>
      <c r="N125" s="13">
        <v>183</v>
      </c>
      <c r="O125" s="13">
        <v>121.5</v>
      </c>
      <c r="P125" s="13">
        <v>60.5</v>
      </c>
      <c r="Q125" s="13">
        <f>P125*4800/SUM(P3:P252)</f>
        <v>19.3302057095996</v>
      </c>
      <c r="R125" s="13">
        <v>191.8725</v>
      </c>
      <c r="S125" s="13">
        <v>1211.201165492960</v>
      </c>
      <c r="T125" s="13">
        <v>-15.8213888888889</v>
      </c>
      <c r="U125" s="13">
        <v>2443.102854381850</v>
      </c>
      <c r="V125" s="13">
        <v>176.051111111111</v>
      </c>
      <c r="W125" s="13">
        <v>0.668554898851997</v>
      </c>
      <c r="X125" s="13">
        <v>185.272191761084</v>
      </c>
      <c r="Y125" s="13">
        <f>X125-O125</f>
        <v>63.772191761084</v>
      </c>
      <c r="Z125" s="13">
        <f>Y125*4800/SUM(Y3:Y252)</f>
        <v>21.6038998021887</v>
      </c>
      <c r="AA125" s="15"/>
      <c r="AB125" s="13">
        <f>_xlfn.XLOOKUP(K125,AF256:AF398,AH256:AH398)</f>
        <v>13</v>
      </c>
    </row>
    <row r="126" ht="8.35" customHeight="1" hidden="1">
      <c r="A126" s="11">
        <v>100</v>
      </c>
      <c r="B126" t="s" s="12">
        <v>46</v>
      </c>
      <c r="C126" s="13">
        <v>181.9</v>
      </c>
      <c r="D126" s="13">
        <v>6819</v>
      </c>
      <c r="E126" s="13">
        <v>2022</v>
      </c>
      <c r="F126" t="s" s="14">
        <v>29</v>
      </c>
      <c r="G126" s="13">
        <v>4</v>
      </c>
      <c r="H126" s="13">
        <v>33.9</v>
      </c>
      <c r="I126" t="s" s="14">
        <v>238</v>
      </c>
      <c r="J126" t="s" s="14">
        <v>248</v>
      </c>
      <c r="K126" s="15"/>
      <c r="L126" s="13">
        <v>167</v>
      </c>
      <c r="M126" s="13">
        <v>-14.9</v>
      </c>
      <c r="N126" s="13">
        <v>183</v>
      </c>
      <c r="O126" s="13">
        <v>121.5</v>
      </c>
      <c r="P126" s="13">
        <v>60.4</v>
      </c>
      <c r="Q126" s="15"/>
      <c r="R126" s="13">
        <v>191.8725</v>
      </c>
      <c r="S126" s="13">
        <v>1211.201165492960</v>
      </c>
      <c r="T126" s="13">
        <v>-15.8213888888889</v>
      </c>
      <c r="U126" s="13">
        <v>2443.102854381850</v>
      </c>
      <c r="V126" s="13">
        <v>176.051111111111</v>
      </c>
      <c r="W126" s="13">
        <v>0.668554898851997</v>
      </c>
      <c r="X126" s="13">
        <v>185.205336271198</v>
      </c>
      <c r="Y126" s="13">
        <f>X126-O126</f>
        <v>63.705336271198</v>
      </c>
      <c r="Z126" s="13">
        <f>Y126*4800/SUM(Y3:Y252)</f>
        <v>21.5812513834212</v>
      </c>
      <c r="AA126" s="15"/>
      <c r="AB126" s="15"/>
    </row>
    <row r="127" ht="8.35" customHeight="1" hidden="1">
      <c r="A127" s="11">
        <v>108</v>
      </c>
      <c r="B127" t="s" s="12">
        <v>46</v>
      </c>
      <c r="C127" s="13">
        <v>181.4</v>
      </c>
      <c r="D127" s="13">
        <v>5846</v>
      </c>
      <c r="E127" s="13">
        <v>2022</v>
      </c>
      <c r="F127" t="s" s="14">
        <v>29</v>
      </c>
      <c r="G127" s="13">
        <v>5</v>
      </c>
      <c r="H127" s="13">
        <v>50.2</v>
      </c>
      <c r="I127" t="s" s="14">
        <v>225</v>
      </c>
      <c r="J127" t="s" s="14">
        <v>226</v>
      </c>
      <c r="K127" s="15"/>
      <c r="L127" s="13">
        <v>180.8</v>
      </c>
      <c r="M127" s="13">
        <v>-0.599999999999994</v>
      </c>
      <c r="N127" s="13">
        <v>183</v>
      </c>
      <c r="O127" s="13">
        <v>121.5</v>
      </c>
      <c r="P127" s="13">
        <v>59.9</v>
      </c>
      <c r="Q127" s="15"/>
      <c r="R127" s="13">
        <v>191.8725</v>
      </c>
      <c r="S127" s="13">
        <v>1211.201165492960</v>
      </c>
      <c r="T127" s="13">
        <v>-15.8213888888889</v>
      </c>
      <c r="U127" s="13">
        <v>2443.102854381850</v>
      </c>
      <c r="V127" s="13">
        <v>176.051111111111</v>
      </c>
      <c r="W127" s="13">
        <v>0.668554898851997</v>
      </c>
      <c r="X127" s="13">
        <v>184.871058821772</v>
      </c>
      <c r="Y127" s="13">
        <f>X127-O127</f>
        <v>63.371058821772</v>
      </c>
      <c r="Z127" s="13">
        <f>Y127*4800/SUM(Y3:Y252)</f>
        <v>21.4680092895853</v>
      </c>
      <c r="AA127" s="15"/>
      <c r="AB127" s="15"/>
    </row>
    <row r="128" ht="20.05" customHeight="1">
      <c r="A128" s="11">
        <v>51</v>
      </c>
      <c r="B128" t="s" s="12">
        <v>75</v>
      </c>
      <c r="C128" s="13">
        <v>311.22</v>
      </c>
      <c r="D128" s="13">
        <v>6768</v>
      </c>
      <c r="E128" s="13">
        <v>2023</v>
      </c>
      <c r="F128" t="s" s="14">
        <v>29</v>
      </c>
      <c r="G128" s="13">
        <v>4</v>
      </c>
      <c r="H128" s="13">
        <v>95.40000000000001</v>
      </c>
      <c r="I128" t="s" s="14">
        <v>249</v>
      </c>
      <c r="J128" t="s" s="14">
        <v>250</v>
      </c>
      <c r="K128" t="s" s="14">
        <f>_xlfn.CONCAT(LEFT(I128,1),". ",J128)</f>
        <v>251</v>
      </c>
      <c r="L128" s="13">
        <v>284.36</v>
      </c>
      <c r="M128" s="13">
        <v>-26.86</v>
      </c>
      <c r="N128" s="13">
        <v>332.28</v>
      </c>
      <c r="O128" s="13">
        <v>253.94</v>
      </c>
      <c r="P128" s="13">
        <v>57.28</v>
      </c>
      <c r="Q128" s="13">
        <f>P128*4800/SUM(P3:P252)</f>
        <v>18.3013914553036</v>
      </c>
      <c r="R128" s="13">
        <v>331.717272727273</v>
      </c>
      <c r="S128" s="13">
        <v>1529.024316017320</v>
      </c>
      <c r="T128" s="13">
        <v>-42.8909090909091</v>
      </c>
      <c r="U128" s="16">
        <v>5503.577170562770</v>
      </c>
      <c r="V128" s="13">
        <v>276.810434782609</v>
      </c>
      <c r="W128" s="13">
        <v>0.782580554445596</v>
      </c>
      <c r="X128" s="13">
        <v>315.676505671741</v>
      </c>
      <c r="Y128" s="13">
        <f>X128-O128</f>
        <v>61.736505671741</v>
      </c>
      <c r="Z128" s="13">
        <f>Y128*4800/SUM(Y3:Y252)</f>
        <v>20.9142769887273</v>
      </c>
      <c r="AA128" s="15"/>
      <c r="AB128" s="13">
        <f>_xlfn.XLOOKUP(K128,AF256:AF398,AH256:AH398)</f>
        <v>6</v>
      </c>
    </row>
    <row r="129" ht="8.35" customHeight="1" hidden="1">
      <c r="A129" s="11">
        <v>112</v>
      </c>
      <c r="B129" t="s" s="12">
        <v>46</v>
      </c>
      <c r="C129" s="13">
        <v>178.2</v>
      </c>
      <c r="D129" s="13">
        <v>2197</v>
      </c>
      <c r="E129" s="13">
        <v>2022</v>
      </c>
      <c r="F129" t="s" s="14">
        <v>29</v>
      </c>
      <c r="G129" s="13">
        <v>10</v>
      </c>
      <c r="H129" s="13">
        <v>59.9</v>
      </c>
      <c r="I129" t="s" s="14">
        <v>252</v>
      </c>
      <c r="J129" t="s" s="14">
        <v>253</v>
      </c>
      <c r="K129" s="15"/>
      <c r="L129" s="13">
        <v>117.1</v>
      </c>
      <c r="M129" s="13">
        <v>-61.1</v>
      </c>
      <c r="N129" s="13">
        <v>183</v>
      </c>
      <c r="O129" s="13">
        <v>121.5</v>
      </c>
      <c r="P129" s="13">
        <v>56.7</v>
      </c>
      <c r="Q129" s="15"/>
      <c r="R129" s="13">
        <v>191.8725</v>
      </c>
      <c r="S129" s="13">
        <v>1211.201165492960</v>
      </c>
      <c r="T129" s="13">
        <v>-15.8213888888889</v>
      </c>
      <c r="U129" s="13">
        <v>2443.102854381850</v>
      </c>
      <c r="V129" s="13">
        <v>176.051111111111</v>
      </c>
      <c r="W129" s="13">
        <v>0.668554898851997</v>
      </c>
      <c r="X129" s="13">
        <v>182.731683145446</v>
      </c>
      <c r="Y129" s="13">
        <f>X129-O129</f>
        <v>61.231683145446</v>
      </c>
      <c r="Z129" s="13">
        <f>Y129*4800/SUM(Y3:Y252)</f>
        <v>20.7432598890356</v>
      </c>
      <c r="AA129" s="15"/>
      <c r="AB129" s="15"/>
    </row>
    <row r="130" ht="20.05" customHeight="1">
      <c r="A130" s="11">
        <v>47</v>
      </c>
      <c r="B130" t="s" s="12">
        <v>75</v>
      </c>
      <c r="C130" s="13">
        <v>310.54</v>
      </c>
      <c r="D130" s="13">
        <v>7591</v>
      </c>
      <c r="E130" s="13">
        <v>2023</v>
      </c>
      <c r="F130" t="s" s="14">
        <v>29</v>
      </c>
      <c r="G130" s="13">
        <v>3</v>
      </c>
      <c r="H130" s="13">
        <v>46</v>
      </c>
      <c r="I130" t="s" s="14">
        <v>47</v>
      </c>
      <c r="J130" t="s" s="14">
        <v>254</v>
      </c>
      <c r="K130" t="s" s="14">
        <f>_xlfn.CONCAT(LEFT(I130,1),". ",J130)</f>
        <v>255</v>
      </c>
      <c r="L130" s="13">
        <v>239.18</v>
      </c>
      <c r="M130" s="13">
        <v>-71.36</v>
      </c>
      <c r="N130" s="13">
        <v>332.28</v>
      </c>
      <c r="O130" s="13">
        <v>253.94</v>
      </c>
      <c r="P130" s="13">
        <v>56.6</v>
      </c>
      <c r="Q130" s="13">
        <f>P130*4800/SUM(P3:P252)</f>
        <v>18.0841263332783</v>
      </c>
      <c r="R130" s="13">
        <v>331.717272727273</v>
      </c>
      <c r="S130" s="13">
        <v>1529.024316017320</v>
      </c>
      <c r="T130" s="13">
        <v>-42.8909090909091</v>
      </c>
      <c r="U130" s="16">
        <v>5503.577170562770</v>
      </c>
      <c r="V130" s="13">
        <v>276.810434782609</v>
      </c>
      <c r="W130" s="13">
        <v>0.782580554445596</v>
      </c>
      <c r="X130" s="13">
        <v>315.144350894718</v>
      </c>
      <c r="Y130" s="13">
        <f>X130-O130</f>
        <v>61.204350894718</v>
      </c>
      <c r="Z130" s="13">
        <f>Y130*4800/SUM(Y3:Y252)</f>
        <v>20.7340006305753</v>
      </c>
      <c r="AA130" s="15"/>
      <c r="AB130" s="13">
        <f>_xlfn.XLOOKUP(K130,AF256:AF398,AH256:AH398)</f>
        <v>17</v>
      </c>
    </row>
    <row r="131" ht="20.05" customHeight="1">
      <c r="A131" s="11">
        <v>108</v>
      </c>
      <c r="B131" t="s" s="12">
        <v>46</v>
      </c>
      <c r="C131" s="13">
        <v>177.5</v>
      </c>
      <c r="D131" s="13">
        <v>1426</v>
      </c>
      <c r="E131" s="13">
        <v>2023</v>
      </c>
      <c r="F131" t="s" s="14">
        <v>29</v>
      </c>
      <c r="G131" s="13">
        <v>11</v>
      </c>
      <c r="H131" s="13">
        <v>49.8</v>
      </c>
      <c r="I131" t="s" s="14">
        <v>256</v>
      </c>
      <c r="J131" t="s" s="14">
        <v>257</v>
      </c>
      <c r="K131" t="s" s="14">
        <f>_xlfn.CONCAT(LEFT(I131,1),". ",J131)</f>
        <v>258</v>
      </c>
      <c r="L131" s="13">
        <v>186.1</v>
      </c>
      <c r="M131" s="13">
        <v>8.599999999999991</v>
      </c>
      <c r="N131" s="13">
        <v>183</v>
      </c>
      <c r="O131" s="13">
        <v>121.5</v>
      </c>
      <c r="P131" s="13">
        <v>56</v>
      </c>
      <c r="Q131" s="13">
        <f>P131*4800/SUM(P3:P252)</f>
        <v>17.8924218138443</v>
      </c>
      <c r="R131" s="13">
        <v>191.8725</v>
      </c>
      <c r="S131" s="13">
        <v>1211.201165492960</v>
      </c>
      <c r="T131" s="13">
        <v>-15.8213888888889</v>
      </c>
      <c r="U131" s="13">
        <v>2443.102854381850</v>
      </c>
      <c r="V131" s="13">
        <v>176.051111111111</v>
      </c>
      <c r="W131" s="13">
        <v>0.668554898851997</v>
      </c>
      <c r="X131" s="13">
        <v>182.263694716250</v>
      </c>
      <c r="Y131" s="13">
        <f>X131-O131</f>
        <v>60.763694716250</v>
      </c>
      <c r="Z131" s="13">
        <f>Y131*4800/SUM(Y3:Y252)</f>
        <v>20.5847209576654</v>
      </c>
      <c r="AA131" s="15"/>
      <c r="AB131" s="13">
        <f>_xlfn.XLOOKUP(K131,AF256:AF398,AH256:AH398)</f>
        <v>20</v>
      </c>
    </row>
    <row r="132" ht="8.35" customHeight="1" hidden="1">
      <c r="A132" s="11">
        <v>103</v>
      </c>
      <c r="B132" t="s" s="12">
        <v>46</v>
      </c>
      <c r="C132" s="13">
        <v>176.7</v>
      </c>
      <c r="D132" s="13">
        <v>5927</v>
      </c>
      <c r="E132" s="13">
        <v>2022</v>
      </c>
      <c r="F132" t="s" s="14">
        <v>29</v>
      </c>
      <c r="G132" s="13">
        <v>5</v>
      </c>
      <c r="H132" s="13">
        <v>42</v>
      </c>
      <c r="I132" t="s" s="14">
        <v>245</v>
      </c>
      <c r="J132" t="s" s="14">
        <v>246</v>
      </c>
      <c r="K132" s="15"/>
      <c r="L132" s="13">
        <v>190.5</v>
      </c>
      <c r="M132" s="13">
        <v>13.8</v>
      </c>
      <c r="N132" s="13">
        <v>183</v>
      </c>
      <c r="O132" s="13">
        <v>121.5</v>
      </c>
      <c r="P132" s="13">
        <v>55.2</v>
      </c>
      <c r="Q132" s="15"/>
      <c r="R132" s="13">
        <v>191.8725</v>
      </c>
      <c r="S132" s="13">
        <v>1211.201165492960</v>
      </c>
      <c r="T132" s="13">
        <v>-15.8213888888889</v>
      </c>
      <c r="U132" s="13">
        <v>2443.102854381850</v>
      </c>
      <c r="V132" s="13">
        <v>176.051111111111</v>
      </c>
      <c r="W132" s="13">
        <v>0.668554898851997</v>
      </c>
      <c r="X132" s="13">
        <v>181.728850797168</v>
      </c>
      <c r="Y132" s="13">
        <f>X132-O132</f>
        <v>60.228850797168</v>
      </c>
      <c r="Z132" s="13">
        <f>Y132*4800/SUM(Y3:Y252)</f>
        <v>20.4035336075278</v>
      </c>
      <c r="AA132" s="15"/>
      <c r="AB132" s="15"/>
    </row>
    <row r="133" ht="20.05" customHeight="1">
      <c r="A133" s="11">
        <v>114</v>
      </c>
      <c r="B133" t="s" s="12">
        <v>46</v>
      </c>
      <c r="C133" s="13">
        <v>176.3</v>
      </c>
      <c r="D133" s="13">
        <v>6803</v>
      </c>
      <c r="E133" s="13">
        <v>2023</v>
      </c>
      <c r="F133" t="s" s="14">
        <v>29</v>
      </c>
      <c r="G133" s="13">
        <v>4</v>
      </c>
      <c r="H133" s="13">
        <v>66.2</v>
      </c>
      <c r="I133" t="s" s="14">
        <v>211</v>
      </c>
      <c r="J133" t="s" s="14">
        <v>259</v>
      </c>
      <c r="K133" t="s" s="14">
        <f>_xlfn.CONCAT(LEFT(I133,1),". ",J133)</f>
        <v>260</v>
      </c>
      <c r="L133" s="13">
        <v>211.7</v>
      </c>
      <c r="M133" s="13">
        <v>35.4</v>
      </c>
      <c r="N133" s="13">
        <v>183</v>
      </c>
      <c r="O133" s="13">
        <v>121.5</v>
      </c>
      <c r="P133" s="13">
        <v>54.8</v>
      </c>
      <c r="Q133" s="13">
        <f>P133*4800/SUM(P3:P252)</f>
        <v>17.5090127749762</v>
      </c>
      <c r="R133" s="13">
        <v>191.8725</v>
      </c>
      <c r="S133" s="13">
        <v>1211.201165492960</v>
      </c>
      <c r="T133" s="13">
        <v>-15.8213888888889</v>
      </c>
      <c r="U133" s="13">
        <v>2443.102854381850</v>
      </c>
      <c r="V133" s="13">
        <v>176.051111111111</v>
      </c>
      <c r="W133" s="13">
        <v>0.668554898851997</v>
      </c>
      <c r="X133" s="13">
        <v>181.461428837627</v>
      </c>
      <c r="Y133" s="13">
        <f>X133-O133</f>
        <v>59.961428837627</v>
      </c>
      <c r="Z133" s="13">
        <f>Y133*4800/SUM(Y3:Y252)</f>
        <v>20.312939932459</v>
      </c>
      <c r="AA133" s="15"/>
      <c r="AB133" s="13">
        <f>_xlfn.XLOOKUP(K133,AF256:AF398,AH256:AH398)</f>
        <v>16</v>
      </c>
    </row>
    <row r="134" ht="8.35" customHeight="1" hidden="1">
      <c r="A134" s="11">
        <v>115</v>
      </c>
      <c r="B134" t="s" s="12">
        <v>46</v>
      </c>
      <c r="C134" s="13">
        <v>175.9</v>
      </c>
      <c r="D134" s="13">
        <v>4040</v>
      </c>
      <c r="E134" s="13">
        <v>2022</v>
      </c>
      <c r="F134" t="s" s="14">
        <v>29</v>
      </c>
      <c r="G134" s="13">
        <v>7</v>
      </c>
      <c r="H134" s="13">
        <v>66.7</v>
      </c>
      <c r="I134" t="s" s="14">
        <v>261</v>
      </c>
      <c r="J134" t="s" s="14">
        <v>262</v>
      </c>
      <c r="K134" s="15"/>
      <c r="L134" s="13">
        <v>144.3</v>
      </c>
      <c r="M134" s="13">
        <v>-31.6</v>
      </c>
      <c r="N134" s="13">
        <v>183</v>
      </c>
      <c r="O134" s="13">
        <v>121.5</v>
      </c>
      <c r="P134" s="13">
        <v>54.4</v>
      </c>
      <c r="Q134" s="15"/>
      <c r="R134" s="13">
        <v>191.8725</v>
      </c>
      <c r="S134" s="13">
        <v>1211.201165492960</v>
      </c>
      <c r="T134" s="13">
        <v>-15.8213888888889</v>
      </c>
      <c r="U134" s="13">
        <v>2443.102854381850</v>
      </c>
      <c r="V134" s="13">
        <v>176.051111111111</v>
      </c>
      <c r="W134" s="13">
        <v>0.668554898851997</v>
      </c>
      <c r="X134" s="13">
        <v>181.194006878086</v>
      </c>
      <c r="Y134" s="13">
        <f>X134-O134</f>
        <v>59.694006878086</v>
      </c>
      <c r="Z134" s="13">
        <f>Y134*4800/SUM(Y3:Y252)</f>
        <v>20.2223462573902</v>
      </c>
      <c r="AA134" s="15"/>
      <c r="AB134" s="15"/>
    </row>
    <row r="135" ht="20.05" customHeight="1">
      <c r="A135" s="11">
        <v>116</v>
      </c>
      <c r="B135" t="s" s="12">
        <v>46</v>
      </c>
      <c r="C135" s="13">
        <v>175.5</v>
      </c>
      <c r="D135" s="13">
        <v>2374</v>
      </c>
      <c r="E135" s="13">
        <v>2023</v>
      </c>
      <c r="F135" t="s" s="14">
        <v>29</v>
      </c>
      <c r="G135" s="13">
        <v>9</v>
      </c>
      <c r="H135" s="13">
        <v>69.09999999999999</v>
      </c>
      <c r="I135" t="s" s="14">
        <v>159</v>
      </c>
      <c r="J135" t="s" s="14">
        <v>263</v>
      </c>
      <c r="K135" t="s" s="14">
        <f>_xlfn.CONCAT(LEFT(I135,1),". ",J135)</f>
        <v>264</v>
      </c>
      <c r="L135" s="13">
        <v>162.9</v>
      </c>
      <c r="M135" s="13">
        <v>-12.6</v>
      </c>
      <c r="N135" s="13">
        <v>183</v>
      </c>
      <c r="O135" s="13">
        <v>121.5</v>
      </c>
      <c r="P135" s="13">
        <v>54</v>
      </c>
      <c r="Q135" s="13">
        <f>P135*4800/SUM(P3:P252)</f>
        <v>17.2534067490641</v>
      </c>
      <c r="R135" s="13">
        <v>191.8725</v>
      </c>
      <c r="S135" s="13">
        <v>1211.201165492960</v>
      </c>
      <c r="T135" s="13">
        <v>-15.8213888888889</v>
      </c>
      <c r="U135" s="13">
        <v>2443.102854381850</v>
      </c>
      <c r="V135" s="13">
        <v>176.051111111111</v>
      </c>
      <c r="W135" s="13">
        <v>0.668554898851997</v>
      </c>
      <c r="X135" s="13">
        <v>180.926584918546</v>
      </c>
      <c r="Y135" s="13">
        <f>X135-O135</f>
        <v>59.426584918546</v>
      </c>
      <c r="Z135" s="13">
        <f>Y135*4800/SUM(Y3:Y252)</f>
        <v>20.1317525823218</v>
      </c>
      <c r="AA135" s="15"/>
      <c r="AB135" s="13">
        <f>_xlfn.XLOOKUP(K135,AF256:AF398,AH256:AH398)</f>
        <v>14</v>
      </c>
    </row>
    <row r="136" ht="20.05" customHeight="1">
      <c r="A136" s="11">
        <v>119</v>
      </c>
      <c r="B136" t="s" s="12">
        <v>46</v>
      </c>
      <c r="C136" s="13">
        <v>175</v>
      </c>
      <c r="D136" s="13">
        <v>6783</v>
      </c>
      <c r="E136" s="13">
        <v>2023</v>
      </c>
      <c r="F136" t="s" s="14">
        <v>29</v>
      </c>
      <c r="G136" s="13">
        <v>4</v>
      </c>
      <c r="H136" s="13">
        <v>76.5</v>
      </c>
      <c r="I136" t="s" s="14">
        <v>265</v>
      </c>
      <c r="J136" t="s" s="14">
        <v>266</v>
      </c>
      <c r="K136" t="s" s="14">
        <f>_xlfn.CONCAT(LEFT(I136,1),". ",J136)</f>
        <v>267</v>
      </c>
      <c r="L136" s="13">
        <v>114.8</v>
      </c>
      <c r="M136" s="13">
        <v>-60.2</v>
      </c>
      <c r="N136" s="13">
        <v>183</v>
      </c>
      <c r="O136" s="13">
        <v>121.5</v>
      </c>
      <c r="P136" s="13">
        <v>53.5</v>
      </c>
      <c r="Q136" s="13">
        <f>P136*4800/SUM(P3:P252)</f>
        <v>17.0936529828691</v>
      </c>
      <c r="R136" s="13">
        <v>191.8725</v>
      </c>
      <c r="S136" s="13">
        <v>1211.201165492960</v>
      </c>
      <c r="T136" s="13">
        <v>-15.8213888888889</v>
      </c>
      <c r="U136" s="13">
        <v>2443.102854381850</v>
      </c>
      <c r="V136" s="13">
        <v>176.051111111111</v>
      </c>
      <c r="W136" s="13">
        <v>0.668554898851997</v>
      </c>
      <c r="X136" s="13">
        <v>180.592307469120</v>
      </c>
      <c r="Y136" s="13">
        <f>X136-O136</f>
        <v>59.092307469120</v>
      </c>
      <c r="Z136" s="13">
        <f>Y136*4800/SUM(Y3:Y252)</f>
        <v>20.0185104884859</v>
      </c>
      <c r="AA136" s="15"/>
      <c r="AB136" s="13">
        <f>_xlfn.XLOOKUP(K136,AF256:AF398,AH256:AH398)</f>
        <v>12</v>
      </c>
    </row>
    <row r="137" ht="8.35" customHeight="1" hidden="1">
      <c r="A137" s="11">
        <v>124</v>
      </c>
      <c r="B137" t="s" s="12">
        <v>46</v>
      </c>
      <c r="C137" s="13">
        <v>174.8</v>
      </c>
      <c r="D137" s="13">
        <v>7525</v>
      </c>
      <c r="E137" s="13">
        <v>2022</v>
      </c>
      <c r="F137" t="s" s="14">
        <v>29</v>
      </c>
      <c r="G137" s="13">
        <v>3</v>
      </c>
      <c r="H137" s="13">
        <v>88.5</v>
      </c>
      <c r="I137" t="s" s="14">
        <v>201</v>
      </c>
      <c r="J137" t="s" s="14">
        <v>202</v>
      </c>
      <c r="K137" s="15"/>
      <c r="L137" s="13">
        <v>207.1</v>
      </c>
      <c r="M137" s="13">
        <v>32.3</v>
      </c>
      <c r="N137" s="13">
        <v>183</v>
      </c>
      <c r="O137" s="13">
        <v>121.5</v>
      </c>
      <c r="P137" s="13">
        <v>53.3</v>
      </c>
      <c r="Q137" s="15"/>
      <c r="R137" s="13">
        <v>191.8725</v>
      </c>
      <c r="S137" s="13">
        <v>1211.201165492960</v>
      </c>
      <c r="T137" s="13">
        <v>-15.8213888888889</v>
      </c>
      <c r="U137" s="13">
        <v>2443.102854381850</v>
      </c>
      <c r="V137" s="13">
        <v>176.051111111111</v>
      </c>
      <c r="W137" s="13">
        <v>0.668554898851997</v>
      </c>
      <c r="X137" s="13">
        <v>180.458596489349</v>
      </c>
      <c r="Y137" s="13">
        <f>X137-O137</f>
        <v>58.958596489349</v>
      </c>
      <c r="Z137" s="13">
        <f>Y137*4800/SUM(Y3:Y252)</f>
        <v>19.9732136509513</v>
      </c>
      <c r="AA137" s="15"/>
      <c r="AB137" s="15"/>
    </row>
    <row r="138" ht="20.05" customHeight="1">
      <c r="A138" s="11">
        <v>48</v>
      </c>
      <c r="B138" t="s" s="12">
        <v>75</v>
      </c>
      <c r="C138" s="13">
        <v>307.66</v>
      </c>
      <c r="D138" s="13">
        <v>7523</v>
      </c>
      <c r="E138" s="13">
        <v>2023</v>
      </c>
      <c r="F138" t="s" s="14">
        <v>29</v>
      </c>
      <c r="G138" s="13">
        <v>3</v>
      </c>
      <c r="H138" s="13">
        <v>57.4</v>
      </c>
      <c r="I138" t="s" s="14">
        <v>268</v>
      </c>
      <c r="J138" t="s" s="14">
        <v>269</v>
      </c>
      <c r="K138" t="s" s="14">
        <f>_xlfn.CONCAT(LEFT(I138,1),". ",J138)</f>
        <v>270</v>
      </c>
      <c r="L138" s="13">
        <v>276.54</v>
      </c>
      <c r="M138" s="13">
        <v>-31.12</v>
      </c>
      <c r="N138" s="13">
        <v>332.28</v>
      </c>
      <c r="O138" s="13">
        <v>253.94</v>
      </c>
      <c r="P138" s="13">
        <v>53.72</v>
      </c>
      <c r="Q138" s="13">
        <f>P138*4800/SUM(P3:P252)</f>
        <v>17.1639446399949</v>
      </c>
      <c r="R138" s="13">
        <v>331.717272727273</v>
      </c>
      <c r="S138" s="13">
        <v>1529.024316017320</v>
      </c>
      <c r="T138" s="13">
        <v>-42.8909090909091</v>
      </c>
      <c r="U138" s="16">
        <v>5503.577170562770</v>
      </c>
      <c r="V138" s="13">
        <v>276.810434782609</v>
      </c>
      <c r="W138" s="13">
        <v>0.782580554445596</v>
      </c>
      <c r="X138" s="13">
        <v>312.890518897915</v>
      </c>
      <c r="Y138" s="13">
        <f>X138-O138</f>
        <v>58.950518897915</v>
      </c>
      <c r="Z138" s="13">
        <f>Y138*4800/SUM(Y3:Y252)</f>
        <v>19.9704772313433</v>
      </c>
      <c r="AA138" s="15"/>
      <c r="AB138" s="13">
        <f>_xlfn.XLOOKUP(K138,AF256:AF398,AH256:AH398)</f>
        <v>10</v>
      </c>
    </row>
    <row r="139" ht="20.05" customHeight="1">
      <c r="A139" s="11">
        <v>115</v>
      </c>
      <c r="B139" t="s" s="12">
        <v>46</v>
      </c>
      <c r="C139" s="13">
        <v>174.3</v>
      </c>
      <c r="D139" s="13">
        <v>4068</v>
      </c>
      <c r="E139" s="13">
        <v>2023</v>
      </c>
      <c r="F139" t="s" s="14">
        <v>29</v>
      </c>
      <c r="G139" s="13">
        <v>7</v>
      </c>
      <c r="H139" s="13">
        <v>68.90000000000001</v>
      </c>
      <c r="I139" t="s" s="14">
        <v>207</v>
      </c>
      <c r="J139" t="s" s="14">
        <v>208</v>
      </c>
      <c r="K139" t="s" s="14">
        <f>_xlfn.CONCAT(LEFT(I139,1),". ",J139)</f>
        <v>271</v>
      </c>
      <c r="L139" s="13">
        <v>40.7</v>
      </c>
      <c r="M139" s="13">
        <v>-133.6</v>
      </c>
      <c r="N139" s="13">
        <v>183</v>
      </c>
      <c r="O139" s="13">
        <v>121.5</v>
      </c>
      <c r="P139" s="13">
        <v>52.8</v>
      </c>
      <c r="Q139" s="13">
        <f>P139*4800/SUM(P3:P252)</f>
        <v>16.869997710196</v>
      </c>
      <c r="R139" s="13">
        <v>191.8725</v>
      </c>
      <c r="S139" s="13">
        <v>1211.201165492960</v>
      </c>
      <c r="T139" s="13">
        <v>-15.8213888888889</v>
      </c>
      <c r="U139" s="13">
        <v>2443.102854381850</v>
      </c>
      <c r="V139" s="13">
        <v>176.051111111111</v>
      </c>
      <c r="W139" s="13">
        <v>0.668554898851997</v>
      </c>
      <c r="X139" s="13">
        <v>180.124319039923</v>
      </c>
      <c r="Y139" s="13">
        <f>X139-O139</f>
        <v>58.624319039923</v>
      </c>
      <c r="Z139" s="13">
        <f>Y139*4800/SUM(Y3:Y252)</f>
        <v>19.8599715571154</v>
      </c>
      <c r="AA139" s="15"/>
      <c r="AB139" s="13">
        <f>_xlfn.XLOOKUP(K139,AF256:AF398,AH256:AH398)</f>
        <v>11</v>
      </c>
    </row>
    <row r="140" ht="20.05" customHeight="1">
      <c r="A140" s="11">
        <v>50</v>
      </c>
      <c r="B140" t="s" s="12">
        <v>75</v>
      </c>
      <c r="C140" s="13">
        <v>307.12</v>
      </c>
      <c r="D140" s="13">
        <v>3294</v>
      </c>
      <c r="E140" s="13">
        <v>2023</v>
      </c>
      <c r="F140" t="s" s="14">
        <v>29</v>
      </c>
      <c r="G140" s="13">
        <v>8</v>
      </c>
      <c r="H140" s="13">
        <v>92</v>
      </c>
      <c r="I140" t="s" s="14">
        <v>272</v>
      </c>
      <c r="J140" t="s" s="14">
        <v>273</v>
      </c>
      <c r="K140" t="s" s="14">
        <f>_xlfn.CONCAT(LEFT(I140,1),". ",J140)</f>
        <v>274</v>
      </c>
      <c r="L140" s="13">
        <v>351.84</v>
      </c>
      <c r="M140" s="13">
        <v>44.72</v>
      </c>
      <c r="N140" s="13">
        <v>332.28</v>
      </c>
      <c r="O140" s="13">
        <v>253.94</v>
      </c>
      <c r="P140" s="13">
        <v>53.18</v>
      </c>
      <c r="Q140" s="13">
        <f>P140*4800/SUM(P3:P252)</f>
        <v>16.9914105725042</v>
      </c>
      <c r="R140" s="13">
        <v>331.717272727273</v>
      </c>
      <c r="S140" s="13">
        <v>1529.024316017320</v>
      </c>
      <c r="T140" s="13">
        <v>-42.8909090909091</v>
      </c>
      <c r="U140" s="16">
        <v>5503.577170562770</v>
      </c>
      <c r="V140" s="13">
        <v>276.810434782609</v>
      </c>
      <c r="W140" s="13">
        <v>0.782580554445596</v>
      </c>
      <c r="X140" s="13">
        <v>312.467925398514</v>
      </c>
      <c r="Y140" s="13">
        <f>X140-O140</f>
        <v>58.527925398514</v>
      </c>
      <c r="Z140" s="13">
        <f>Y140*4800/SUM(Y3:Y252)</f>
        <v>19.8273165939871</v>
      </c>
      <c r="AA140" s="15"/>
      <c r="AB140" s="13">
        <f>_xlfn.XLOOKUP(K140,AF256:AF398,AH256:AH398)</f>
        <v>2</v>
      </c>
    </row>
    <row r="141" ht="8.35" customHeight="1" hidden="1">
      <c r="A141" s="11">
        <v>99</v>
      </c>
      <c r="B141" t="s" s="12">
        <v>46</v>
      </c>
      <c r="C141" s="13">
        <v>173.1</v>
      </c>
      <c r="D141" s="13">
        <v>1479</v>
      </c>
      <c r="E141" s="13">
        <v>2022</v>
      </c>
      <c r="F141" t="s" s="14">
        <v>29</v>
      </c>
      <c r="G141" s="13">
        <v>11</v>
      </c>
      <c r="H141" s="13">
        <v>30.3</v>
      </c>
      <c r="I141" t="s" s="14">
        <v>240</v>
      </c>
      <c r="J141" t="s" s="14">
        <v>76</v>
      </c>
      <c r="K141" s="15"/>
      <c r="L141" s="13">
        <v>131</v>
      </c>
      <c r="M141" s="13">
        <v>-42.1</v>
      </c>
      <c r="N141" s="13">
        <v>183</v>
      </c>
      <c r="O141" s="13">
        <v>121.5</v>
      </c>
      <c r="P141" s="13">
        <v>51.6</v>
      </c>
      <c r="Q141" s="15"/>
      <c r="R141" s="13">
        <v>191.8725</v>
      </c>
      <c r="S141" s="13">
        <v>1211.201165492960</v>
      </c>
      <c r="T141" s="13">
        <v>-15.8213888888889</v>
      </c>
      <c r="U141" s="13">
        <v>2443.102854381850</v>
      </c>
      <c r="V141" s="13">
        <v>176.051111111111</v>
      </c>
      <c r="W141" s="13">
        <v>0.668554898851997</v>
      </c>
      <c r="X141" s="13">
        <v>179.322053161301</v>
      </c>
      <c r="Y141" s="13">
        <f>X141-O141</f>
        <v>57.822053161301</v>
      </c>
      <c r="Z141" s="13">
        <f>Y141*4800/SUM(Y3:Y252)</f>
        <v>19.5881905319093</v>
      </c>
      <c r="AA141" s="15"/>
      <c r="AB141" s="15"/>
    </row>
    <row r="142" ht="8.35" customHeight="1" hidden="1">
      <c r="A142" s="11">
        <v>114</v>
      </c>
      <c r="B142" t="s" s="12">
        <v>46</v>
      </c>
      <c r="C142" s="13">
        <v>172.4</v>
      </c>
      <c r="D142" s="13">
        <v>4037</v>
      </c>
      <c r="E142" s="13">
        <v>2022</v>
      </c>
      <c r="F142" t="s" s="14">
        <v>29</v>
      </c>
      <c r="G142" s="13">
        <v>7</v>
      </c>
      <c r="H142" s="13">
        <v>65.7</v>
      </c>
      <c r="I142" t="s" s="14">
        <v>198</v>
      </c>
      <c r="J142" t="s" s="14">
        <v>223</v>
      </c>
      <c r="K142" s="15"/>
      <c r="L142" s="13">
        <v>170.8</v>
      </c>
      <c r="M142" s="13">
        <v>-1.59999999999999</v>
      </c>
      <c r="N142" s="13">
        <v>183</v>
      </c>
      <c r="O142" s="13">
        <v>121.5</v>
      </c>
      <c r="P142" s="13">
        <v>50.9</v>
      </c>
      <c r="Q142" s="15"/>
      <c r="R142" s="13">
        <v>191.8725</v>
      </c>
      <c r="S142" s="13">
        <v>1211.201165492960</v>
      </c>
      <c r="T142" s="13">
        <v>-15.8213888888889</v>
      </c>
      <c r="U142" s="13">
        <v>2443.102854381850</v>
      </c>
      <c r="V142" s="13">
        <v>176.051111111111</v>
      </c>
      <c r="W142" s="13">
        <v>0.668554898851997</v>
      </c>
      <c r="X142" s="13">
        <v>178.854064732105</v>
      </c>
      <c r="Y142" s="13">
        <f>X142-O142</f>
        <v>57.354064732105</v>
      </c>
      <c r="Z142" s="13">
        <f>Y142*4800/SUM(Y3:Y252)</f>
        <v>19.4296516005392</v>
      </c>
      <c r="AA142" s="15"/>
      <c r="AB142" s="15"/>
    </row>
    <row r="143" ht="8.35" customHeight="1" hidden="1">
      <c r="A143" s="11">
        <v>107</v>
      </c>
      <c r="B143" t="s" s="12">
        <v>46</v>
      </c>
      <c r="C143" s="13">
        <v>171.6</v>
      </c>
      <c r="D143" s="13">
        <v>5937</v>
      </c>
      <c r="E143" s="13">
        <v>2022</v>
      </c>
      <c r="F143" t="s" s="14">
        <v>29</v>
      </c>
      <c r="G143" s="13">
        <v>5</v>
      </c>
      <c r="H143" s="13">
        <v>48.9</v>
      </c>
      <c r="I143" t="s" s="14">
        <v>275</v>
      </c>
      <c r="J143" t="s" s="14">
        <v>276</v>
      </c>
      <c r="K143" s="15"/>
      <c r="L143" s="13">
        <v>136.7</v>
      </c>
      <c r="M143" s="13">
        <v>-34.9</v>
      </c>
      <c r="N143" s="13">
        <v>183</v>
      </c>
      <c r="O143" s="13">
        <v>121.5</v>
      </c>
      <c r="P143" s="13">
        <v>50.1</v>
      </c>
      <c r="Q143" s="15"/>
      <c r="R143" s="13">
        <v>191.8725</v>
      </c>
      <c r="S143" s="13">
        <v>1211.201165492960</v>
      </c>
      <c r="T143" s="13">
        <v>-15.8213888888889</v>
      </c>
      <c r="U143" s="13">
        <v>2443.102854381850</v>
      </c>
      <c r="V143" s="13">
        <v>176.051111111111</v>
      </c>
      <c r="W143" s="13">
        <v>0.668554898851997</v>
      </c>
      <c r="X143" s="13">
        <v>178.319220813023</v>
      </c>
      <c r="Y143" s="13">
        <f>X143-O143</f>
        <v>56.819220813023</v>
      </c>
      <c r="Z143" s="13">
        <f>Y143*4800/SUM(Y3:Y252)</f>
        <v>19.2484642504016</v>
      </c>
      <c r="AA143" s="15"/>
      <c r="AB143" s="15"/>
    </row>
    <row r="144" ht="20.05" customHeight="1">
      <c r="A144" s="11">
        <v>49</v>
      </c>
      <c r="B144" t="s" s="12">
        <v>75</v>
      </c>
      <c r="C144" s="13">
        <v>304.86</v>
      </c>
      <c r="D144" s="13">
        <v>4017</v>
      </c>
      <c r="E144" s="13">
        <v>2023</v>
      </c>
      <c r="F144" t="s" s="14">
        <v>29</v>
      </c>
      <c r="G144" s="13">
        <v>7</v>
      </c>
      <c r="H144" s="13">
        <v>86.8</v>
      </c>
      <c r="I144" t="s" s="14">
        <v>277</v>
      </c>
      <c r="J144" t="s" s="14">
        <v>278</v>
      </c>
      <c r="K144" t="s" s="14">
        <f>_xlfn.CONCAT(LEFT(I144,1),". ",J144)</f>
        <v>279</v>
      </c>
      <c r="L144" s="13">
        <v>90.8</v>
      </c>
      <c r="M144" s="13">
        <v>-214.06</v>
      </c>
      <c r="N144" s="13">
        <v>332.28</v>
      </c>
      <c r="O144" s="13">
        <v>253.94</v>
      </c>
      <c r="P144" s="13">
        <v>50.92</v>
      </c>
      <c r="Q144" s="13">
        <f>P144*4800/SUM(P3:P252)</f>
        <v>16.2693235493027</v>
      </c>
      <c r="R144" s="13">
        <v>331.717272727273</v>
      </c>
      <c r="S144" s="13">
        <v>1529.024316017320</v>
      </c>
      <c r="T144" s="13">
        <v>-42.8909090909091</v>
      </c>
      <c r="U144" s="16">
        <v>5503.577170562770</v>
      </c>
      <c r="V144" s="13">
        <v>276.810434782609</v>
      </c>
      <c r="W144" s="13">
        <v>0.782580554445596</v>
      </c>
      <c r="X144" s="16">
        <v>310.699293345467</v>
      </c>
      <c r="Y144" s="13">
        <f>X144-O144</f>
        <v>56.759293345467</v>
      </c>
      <c r="Z144" s="13">
        <f>Y144*4800/SUM(Y3:Y252)</f>
        <v>19.228162815423</v>
      </c>
      <c r="AA144" t="s" s="14">
        <v>87</v>
      </c>
      <c r="AB144" s="13">
        <f>_xlfn.XLOOKUP(K144,AF256:AF398,AH256:AH398)</f>
        <v>6</v>
      </c>
    </row>
    <row r="145" ht="20.05" customHeight="1">
      <c r="A145" s="11">
        <v>117</v>
      </c>
      <c r="B145" t="s" s="12">
        <v>46</v>
      </c>
      <c r="C145" s="13">
        <v>170.2</v>
      </c>
      <c r="D145" s="13">
        <v>4950</v>
      </c>
      <c r="E145" s="13">
        <v>2023</v>
      </c>
      <c r="F145" t="s" s="14">
        <v>29</v>
      </c>
      <c r="G145" s="13">
        <v>6</v>
      </c>
      <c r="H145" s="13">
        <v>71.3</v>
      </c>
      <c r="I145" t="s" s="14">
        <v>30</v>
      </c>
      <c r="J145" t="s" s="14">
        <v>280</v>
      </c>
      <c r="K145" t="s" s="14">
        <f>_xlfn.CONCAT(LEFT(I145,1),". ",J145)</f>
        <v>281</v>
      </c>
      <c r="L145" s="13">
        <v>121.76</v>
      </c>
      <c r="M145" s="13">
        <v>-48.44</v>
      </c>
      <c r="N145" s="13">
        <v>183</v>
      </c>
      <c r="O145" s="13">
        <v>121.5</v>
      </c>
      <c r="P145" s="13">
        <v>48.7</v>
      </c>
      <c r="Q145" s="13">
        <f>P145*4800/SUM(P3:P252)</f>
        <v>15.5600168273967</v>
      </c>
      <c r="R145" s="13">
        <v>191.8725</v>
      </c>
      <c r="S145" s="13">
        <v>1211.201165492960</v>
      </c>
      <c r="T145" s="13">
        <v>-15.8213888888889</v>
      </c>
      <c r="U145" s="13">
        <v>2443.102854381850</v>
      </c>
      <c r="V145" s="13">
        <v>176.051111111111</v>
      </c>
      <c r="W145" s="13">
        <v>0.668554898851997</v>
      </c>
      <c r="X145" s="13">
        <v>177.383243954630</v>
      </c>
      <c r="Y145" s="13">
        <f>X145-O145</f>
        <v>55.883243954630</v>
      </c>
      <c r="Z145" s="13">
        <f>Y145*4800/SUM(Y3:Y252)</f>
        <v>18.931386387661</v>
      </c>
      <c r="AA145" s="15"/>
      <c r="AB145" s="13">
        <f>_xlfn.XLOOKUP(K145,AF256:AF398,AH256:AH398)</f>
        <v>14</v>
      </c>
    </row>
    <row r="146" ht="20.05" customHeight="1">
      <c r="A146" s="11">
        <v>78</v>
      </c>
      <c r="B146" t="s" s="12">
        <v>145</v>
      </c>
      <c r="C146" s="13">
        <v>170.3</v>
      </c>
      <c r="D146" s="13">
        <v>5012</v>
      </c>
      <c r="E146" s="13">
        <v>2023</v>
      </c>
      <c r="F146" t="s" s="14">
        <v>29</v>
      </c>
      <c r="G146" s="13">
        <v>6</v>
      </c>
      <c r="H146" s="13">
        <v>26</v>
      </c>
      <c r="I146" t="s" s="14">
        <v>213</v>
      </c>
      <c r="J146" t="s" s="14">
        <v>214</v>
      </c>
      <c r="K146" t="s" s="14">
        <f>_xlfn.CONCAT(LEFT(I146,1),". ",J146)</f>
        <v>282</v>
      </c>
      <c r="L146" s="13">
        <v>112.9</v>
      </c>
      <c r="M146" s="13">
        <v>-57.4</v>
      </c>
      <c r="N146" s="13">
        <v>137.15</v>
      </c>
      <c r="O146" s="13">
        <v>104.6</v>
      </c>
      <c r="P146" s="13">
        <v>65.7</v>
      </c>
      <c r="Q146" s="13">
        <f>P146*4800/SUM(P3:P252)</f>
        <v>20.991644878028</v>
      </c>
      <c r="R146" s="13">
        <v>143.691666666667</v>
      </c>
      <c r="S146" s="13">
        <v>922.432101449276</v>
      </c>
      <c r="T146" s="13">
        <v>-13.4541666666667</v>
      </c>
      <c r="U146" s="13">
        <v>1365.687807971010</v>
      </c>
      <c r="V146" s="13">
        <v>130.2375</v>
      </c>
      <c r="W146" s="13">
        <v>0.596860244233013</v>
      </c>
      <c r="X146" s="13">
        <v>159.573122998633</v>
      </c>
      <c r="Y146" s="13">
        <f>X146-O146</f>
        <v>54.973122998633</v>
      </c>
      <c r="Z146" s="13">
        <f>Y146*4800/SUM(Y3:Y252)</f>
        <v>18.623067645616</v>
      </c>
      <c r="AA146" s="15"/>
      <c r="AB146" s="13">
        <f>_xlfn.XLOOKUP(K146,AF256:AF398,AH256:AH398)</f>
        <v>27</v>
      </c>
    </row>
    <row r="147" ht="8.35" customHeight="1" hidden="1">
      <c r="A147" s="11">
        <v>117</v>
      </c>
      <c r="B147" t="s" s="12">
        <v>46</v>
      </c>
      <c r="C147" s="13">
        <v>168.8</v>
      </c>
      <c r="D147" s="13">
        <v>6943</v>
      </c>
      <c r="E147" s="13">
        <v>2022</v>
      </c>
      <c r="F147" t="s" s="14">
        <v>29</v>
      </c>
      <c r="G147" s="13">
        <v>4</v>
      </c>
      <c r="H147" s="13">
        <v>68.5</v>
      </c>
      <c r="I147" t="s" s="14">
        <v>283</v>
      </c>
      <c r="J147" t="s" s="14">
        <v>284</v>
      </c>
      <c r="K147" s="15"/>
      <c r="L147" s="13">
        <v>147.6</v>
      </c>
      <c r="M147" s="13">
        <v>-21.2</v>
      </c>
      <c r="N147" s="13">
        <v>183</v>
      </c>
      <c r="O147" s="13">
        <v>121.5</v>
      </c>
      <c r="P147" s="13">
        <v>47.3</v>
      </c>
      <c r="Q147" s="15"/>
      <c r="R147" s="13">
        <v>191.8725</v>
      </c>
      <c r="S147" s="13">
        <v>1211.201165492960</v>
      </c>
      <c r="T147" s="13">
        <v>-15.8213888888889</v>
      </c>
      <c r="U147" s="13">
        <v>2443.102854381850</v>
      </c>
      <c r="V147" s="13">
        <v>176.051111111111</v>
      </c>
      <c r="W147" s="13">
        <v>0.668554898851997</v>
      </c>
      <c r="X147" s="13">
        <v>176.447267096237</v>
      </c>
      <c r="Y147" s="13">
        <f>X147-O147</f>
        <v>54.947267096237</v>
      </c>
      <c r="Z147" s="13">
        <f>Y147*4800/SUM(Y3:Y252)</f>
        <v>18.6143085249204</v>
      </c>
      <c r="AA147" s="15"/>
      <c r="AB147" s="15"/>
    </row>
    <row r="148" ht="8.35" customHeight="1" hidden="1">
      <c r="A148" s="11">
        <v>109</v>
      </c>
      <c r="B148" t="s" s="12">
        <v>46</v>
      </c>
      <c r="C148" s="13">
        <v>168</v>
      </c>
      <c r="D148" s="13">
        <v>6783</v>
      </c>
      <c r="E148" s="13">
        <v>2022</v>
      </c>
      <c r="F148" t="s" s="14">
        <v>29</v>
      </c>
      <c r="G148" s="13">
        <v>4</v>
      </c>
      <c r="H148" s="13">
        <v>51.4</v>
      </c>
      <c r="I148" t="s" s="14">
        <v>265</v>
      </c>
      <c r="J148" t="s" s="14">
        <v>266</v>
      </c>
      <c r="K148" s="15"/>
      <c r="L148" s="13">
        <v>170.7</v>
      </c>
      <c r="M148" s="13">
        <v>2.69999999999999</v>
      </c>
      <c r="N148" s="13">
        <v>183</v>
      </c>
      <c r="O148" s="13">
        <v>121.5</v>
      </c>
      <c r="P148" s="13">
        <v>46.5</v>
      </c>
      <c r="Q148" s="15"/>
      <c r="R148" s="13">
        <v>191.8725</v>
      </c>
      <c r="S148" s="13">
        <v>1211.201165492960</v>
      </c>
      <c r="T148" s="13">
        <v>-15.8213888888889</v>
      </c>
      <c r="U148" s="13">
        <v>2443.102854381850</v>
      </c>
      <c r="V148" s="13">
        <v>176.051111111111</v>
      </c>
      <c r="W148" s="13">
        <v>0.668554898851997</v>
      </c>
      <c r="X148" s="13">
        <v>175.912423177156</v>
      </c>
      <c r="Y148" s="13">
        <f>X148-O148</f>
        <v>54.412423177156</v>
      </c>
      <c r="Z148" s="13">
        <f>Y148*4800/SUM(Y3:Y252)</f>
        <v>18.4331211747831</v>
      </c>
      <c r="AA148" s="15"/>
      <c r="AB148" s="15"/>
    </row>
    <row r="149" ht="20.05" customHeight="1">
      <c r="A149" s="11">
        <v>123</v>
      </c>
      <c r="B149" t="s" s="12">
        <v>46</v>
      </c>
      <c r="C149" s="13">
        <v>167.9</v>
      </c>
      <c r="D149" s="13">
        <v>6819</v>
      </c>
      <c r="E149" s="13">
        <v>2023</v>
      </c>
      <c r="F149" t="s" s="14">
        <v>29</v>
      </c>
      <c r="G149" s="13">
        <v>4</v>
      </c>
      <c r="H149" s="13">
        <v>80.8</v>
      </c>
      <c r="I149" t="s" s="14">
        <v>238</v>
      </c>
      <c r="J149" t="s" s="14">
        <v>248</v>
      </c>
      <c r="K149" t="s" s="14">
        <f>_xlfn.CONCAT(LEFT(I149,1),". ",J149)</f>
        <v>285</v>
      </c>
      <c r="L149" s="13">
        <v>195.7</v>
      </c>
      <c r="M149" s="13">
        <v>27.8</v>
      </c>
      <c r="N149" s="13">
        <v>183</v>
      </c>
      <c r="O149" s="13">
        <v>121.5</v>
      </c>
      <c r="P149" s="13">
        <v>46.4</v>
      </c>
      <c r="Q149" s="13">
        <f>P149*4800/SUM(P3:P252)</f>
        <v>14.8251495028995</v>
      </c>
      <c r="R149" s="13">
        <v>191.8725</v>
      </c>
      <c r="S149" s="13">
        <v>1211.201165492960</v>
      </c>
      <c r="T149" s="13">
        <v>-15.8213888888889</v>
      </c>
      <c r="U149" s="13">
        <v>2443.102854381850</v>
      </c>
      <c r="V149" s="13">
        <v>176.051111111111</v>
      </c>
      <c r="W149" s="13">
        <v>0.668554898851997</v>
      </c>
      <c r="X149" s="13">
        <v>175.845567687271</v>
      </c>
      <c r="Y149" s="13">
        <f>X149-O149</f>
        <v>54.345567687271</v>
      </c>
      <c r="Z149" s="13">
        <f>Y149*4800/SUM(Y3:Y252)</f>
        <v>18.410472756016</v>
      </c>
      <c r="AA149" s="15"/>
      <c r="AB149" s="13">
        <f>_xlfn.XLOOKUP(K149,AF256:AF398,AH256:AH398)</f>
        <v>10</v>
      </c>
    </row>
    <row r="150" ht="8.35" customHeight="1" hidden="1">
      <c r="A150" s="11">
        <v>121</v>
      </c>
      <c r="B150" t="s" s="12">
        <v>46</v>
      </c>
      <c r="C150" s="13">
        <v>167.7</v>
      </c>
      <c r="D150" s="13">
        <v>7571</v>
      </c>
      <c r="E150" s="13">
        <v>2022</v>
      </c>
      <c r="F150" t="s" s="14">
        <v>29</v>
      </c>
      <c r="G150" s="13">
        <v>3</v>
      </c>
      <c r="H150" s="13">
        <v>78.2</v>
      </c>
      <c r="I150" t="s" s="14">
        <v>286</v>
      </c>
      <c r="J150" t="s" s="14">
        <v>287</v>
      </c>
      <c r="K150" s="15"/>
      <c r="L150" s="13">
        <v>45</v>
      </c>
      <c r="M150" s="13">
        <v>-122.7</v>
      </c>
      <c r="N150" s="13">
        <v>183</v>
      </c>
      <c r="O150" s="13">
        <v>121.5</v>
      </c>
      <c r="P150" s="13">
        <v>46.2</v>
      </c>
      <c r="Q150" s="15"/>
      <c r="R150" s="13">
        <v>191.8725</v>
      </c>
      <c r="S150" s="13">
        <v>1211.201165492960</v>
      </c>
      <c r="T150" s="13">
        <v>-15.8213888888889</v>
      </c>
      <c r="U150" s="13">
        <v>2443.102854381850</v>
      </c>
      <c r="V150" s="13">
        <v>176.051111111111</v>
      </c>
      <c r="W150" s="13">
        <v>0.668554898851997</v>
      </c>
      <c r="X150" s="13">
        <v>175.7118567075</v>
      </c>
      <c r="Y150" s="13">
        <f>X150-O150</f>
        <v>54.2118567075</v>
      </c>
      <c r="Z150" s="13">
        <f>Y150*4800/SUM(Y3:Y252)</f>
        <v>18.3651759184814</v>
      </c>
      <c r="AA150" s="15"/>
      <c r="AB150" s="15"/>
    </row>
    <row r="151" ht="8.35" customHeight="1" hidden="1">
      <c r="A151" s="11">
        <v>122</v>
      </c>
      <c r="B151" t="s" s="12">
        <v>46</v>
      </c>
      <c r="C151" s="13">
        <v>167.4</v>
      </c>
      <c r="D151" s="13">
        <v>1426</v>
      </c>
      <c r="E151" s="13">
        <v>2022</v>
      </c>
      <c r="F151" t="s" s="14">
        <v>29</v>
      </c>
      <c r="G151" s="13">
        <v>11</v>
      </c>
      <c r="H151" s="13">
        <v>83.90000000000001</v>
      </c>
      <c r="I151" t="s" s="14">
        <v>256</v>
      </c>
      <c r="J151" t="s" s="14">
        <v>257</v>
      </c>
      <c r="K151" s="15"/>
      <c r="L151" s="13">
        <v>119.7</v>
      </c>
      <c r="M151" s="13">
        <v>-47.7</v>
      </c>
      <c r="N151" s="13">
        <v>183</v>
      </c>
      <c r="O151" s="13">
        <v>121.5</v>
      </c>
      <c r="P151" s="13">
        <v>45.9</v>
      </c>
      <c r="Q151" s="15"/>
      <c r="R151" s="13">
        <v>191.8725</v>
      </c>
      <c r="S151" s="13">
        <v>1211.201165492960</v>
      </c>
      <c r="T151" s="13">
        <v>-15.8213888888889</v>
      </c>
      <c r="U151" s="13">
        <v>2443.102854381850</v>
      </c>
      <c r="V151" s="13">
        <v>176.051111111111</v>
      </c>
      <c r="W151" s="13">
        <v>0.668554898851997</v>
      </c>
      <c r="X151" s="13">
        <v>175.511290237845</v>
      </c>
      <c r="Y151" s="13">
        <f>X151-O151</f>
        <v>54.011290237845</v>
      </c>
      <c r="Z151" s="13">
        <f>Y151*4800/SUM(Y3:Y252)</f>
        <v>18.2972306621801</v>
      </c>
      <c r="AA151" s="15"/>
      <c r="AB151" s="15"/>
    </row>
    <row r="152" ht="20.05" customHeight="1">
      <c r="A152" s="11">
        <v>120</v>
      </c>
      <c r="B152" t="s" s="12">
        <v>46</v>
      </c>
      <c r="C152" s="13">
        <v>165.2</v>
      </c>
      <c r="D152" s="13">
        <v>8137</v>
      </c>
      <c r="E152" s="13">
        <v>2023</v>
      </c>
      <c r="F152" t="s" s="14">
        <v>29</v>
      </c>
      <c r="G152" s="13">
        <v>2</v>
      </c>
      <c r="H152" s="13">
        <v>76.90000000000001</v>
      </c>
      <c r="I152" t="s" s="14">
        <v>288</v>
      </c>
      <c r="J152" t="s" s="14">
        <v>289</v>
      </c>
      <c r="K152" t="s" s="14">
        <f>_xlfn.CONCAT(LEFT(I152,1),". ",J152)</f>
        <v>290</v>
      </c>
      <c r="L152" s="13">
        <v>177.3</v>
      </c>
      <c r="M152" s="13">
        <v>12.1</v>
      </c>
      <c r="N152" s="13">
        <v>183</v>
      </c>
      <c r="O152" s="13">
        <v>121.5</v>
      </c>
      <c r="P152" s="13">
        <v>43.7</v>
      </c>
      <c r="Q152" s="13">
        <f>P152*4800/SUM(P3:P252)</f>
        <v>13.9624791654463</v>
      </c>
      <c r="R152" s="13">
        <v>191.8725</v>
      </c>
      <c r="S152" s="13">
        <v>1211.201165492960</v>
      </c>
      <c r="T152" s="13">
        <v>-15.8213888888889</v>
      </c>
      <c r="U152" s="13">
        <v>2443.102854381850</v>
      </c>
      <c r="V152" s="13">
        <v>176.051111111111</v>
      </c>
      <c r="W152" s="13">
        <v>0.668554898851997</v>
      </c>
      <c r="X152" s="13">
        <v>174.040469460370</v>
      </c>
      <c r="Y152" s="13">
        <f>X152-O152</f>
        <v>52.540469460370</v>
      </c>
      <c r="Z152" s="13">
        <f>Y152*4800/SUM(Y3:Y252)</f>
        <v>17.7989654493019</v>
      </c>
      <c r="AA152" s="15"/>
      <c r="AB152" s="13">
        <f>_xlfn.XLOOKUP(K152,AF256:AF398,AH256:AH398)</f>
        <v>8</v>
      </c>
    </row>
    <row r="153" ht="8.35" customHeight="1" hidden="1">
      <c r="A153" s="11">
        <v>50</v>
      </c>
      <c r="B153" t="s" s="12">
        <v>75</v>
      </c>
      <c r="C153" s="13">
        <v>298.4</v>
      </c>
      <c r="D153" s="13">
        <v>3294</v>
      </c>
      <c r="E153" s="13">
        <v>2022</v>
      </c>
      <c r="F153" t="s" s="14">
        <v>29</v>
      </c>
      <c r="G153" s="13">
        <v>8</v>
      </c>
      <c r="H153" s="13">
        <v>96.40000000000001</v>
      </c>
      <c r="I153" t="s" s="14">
        <v>272</v>
      </c>
      <c r="J153" t="s" s="14">
        <v>273</v>
      </c>
      <c r="K153" s="15"/>
      <c r="L153" s="13">
        <v>213.6</v>
      </c>
      <c r="M153" s="13">
        <v>-84.8</v>
      </c>
      <c r="N153" s="13">
        <v>332.28</v>
      </c>
      <c r="O153" s="13">
        <v>253.94</v>
      </c>
      <c r="P153" s="13">
        <v>44.46</v>
      </c>
      <c r="Q153" s="15"/>
      <c r="R153" s="13">
        <v>331.717272727273</v>
      </c>
      <c r="S153" s="13">
        <v>1529.024316017320</v>
      </c>
      <c r="T153" s="13">
        <v>-42.8909090909091</v>
      </c>
      <c r="U153" s="16">
        <v>5503.577170562770</v>
      </c>
      <c r="V153" s="13">
        <v>276.810434782609</v>
      </c>
      <c r="W153" s="13">
        <v>0.782580554445596</v>
      </c>
      <c r="X153" s="13">
        <v>305.643822963748</v>
      </c>
      <c r="Y153" s="13">
        <f>X153-O153</f>
        <v>51.703822963748</v>
      </c>
      <c r="Z153" s="13">
        <f>Y153*4800/SUM(Y3:Y252)</f>
        <v>17.5155374129786</v>
      </c>
      <c r="AA153" s="15"/>
      <c r="AB153" s="15"/>
    </row>
    <row r="154" ht="8.35" customHeight="1" hidden="1">
      <c r="A154" s="11">
        <v>49</v>
      </c>
      <c r="B154" t="s" s="12">
        <v>75</v>
      </c>
      <c r="C154" s="13">
        <v>295.44</v>
      </c>
      <c r="D154" s="13">
        <v>167</v>
      </c>
      <c r="E154" s="13">
        <v>2022</v>
      </c>
      <c r="F154" t="s" s="14">
        <v>29</v>
      </c>
      <c r="G154" s="13">
        <v>23</v>
      </c>
      <c r="H154" s="13">
        <v>82.8</v>
      </c>
      <c r="I154" t="s" s="14">
        <v>291</v>
      </c>
      <c r="J154" t="s" s="14">
        <v>292</v>
      </c>
      <c r="K154" s="15"/>
      <c r="L154" s="13">
        <v>279.66</v>
      </c>
      <c r="M154" s="13">
        <v>-15.78</v>
      </c>
      <c r="N154" s="13">
        <v>332.28</v>
      </c>
      <c r="O154" s="13">
        <v>253.94</v>
      </c>
      <c r="P154" s="13">
        <v>41.5</v>
      </c>
      <c r="Q154" s="15"/>
      <c r="R154" s="13">
        <v>331.717272727273</v>
      </c>
      <c r="S154" s="13">
        <v>1529.024316017320</v>
      </c>
      <c r="T154" s="13">
        <v>-42.8909090909091</v>
      </c>
      <c r="U154" s="16">
        <v>5503.577170562770</v>
      </c>
      <c r="V154" s="13">
        <v>276.810434782609</v>
      </c>
      <c r="W154" s="13">
        <v>0.782580554445596</v>
      </c>
      <c r="X154" s="13">
        <v>303.327384522590</v>
      </c>
      <c r="Y154" s="13">
        <f>X154-O154</f>
        <v>49.387384522590</v>
      </c>
      <c r="Z154" s="13">
        <f>Y154*4800/SUM(Y3:Y252)</f>
        <v>16.7308050304348</v>
      </c>
      <c r="AA154" s="15"/>
      <c r="AB154" s="15"/>
    </row>
    <row r="155" ht="20.05" customHeight="1">
      <c r="A155" s="11">
        <v>121</v>
      </c>
      <c r="B155" t="s" s="12">
        <v>46</v>
      </c>
      <c r="C155" s="13">
        <v>160.1</v>
      </c>
      <c r="D155" s="13">
        <v>5848</v>
      </c>
      <c r="E155" s="13">
        <v>2023</v>
      </c>
      <c r="F155" t="s" s="14">
        <v>29</v>
      </c>
      <c r="G155" s="13">
        <v>5</v>
      </c>
      <c r="H155" s="13">
        <v>79.3</v>
      </c>
      <c r="I155" t="s" s="14">
        <v>293</v>
      </c>
      <c r="J155" t="s" s="14">
        <v>125</v>
      </c>
      <c r="K155" t="s" s="14">
        <f>_xlfn.CONCAT(LEFT(I155,1),". ",J155)</f>
        <v>294</v>
      </c>
      <c r="L155" s="13">
        <v>109.2</v>
      </c>
      <c r="M155" s="13">
        <v>-50.9</v>
      </c>
      <c r="N155" s="13">
        <v>183</v>
      </c>
      <c r="O155" s="13">
        <v>121.5</v>
      </c>
      <c r="P155" s="13">
        <v>38.6</v>
      </c>
      <c r="Q155" s="13">
        <f>P155*4800/SUM(P3:P252)</f>
        <v>12.3329907502569</v>
      </c>
      <c r="R155" s="13">
        <v>191.8725</v>
      </c>
      <c r="S155" s="13">
        <v>1211.201165492960</v>
      </c>
      <c r="T155" s="13">
        <v>-15.8213888888889</v>
      </c>
      <c r="U155" s="13">
        <v>2443.102854381850</v>
      </c>
      <c r="V155" s="13">
        <v>176.051111111111</v>
      </c>
      <c r="W155" s="13">
        <v>0.668554898851997</v>
      </c>
      <c r="X155" s="13">
        <v>170.630839476225</v>
      </c>
      <c r="Y155" s="13">
        <f>X155-O155</f>
        <v>49.130839476225</v>
      </c>
      <c r="Z155" s="13">
        <f>Y155*4800/SUM(Y3:Y252)</f>
        <v>16.6438960921756</v>
      </c>
      <c r="AA155" s="15"/>
      <c r="AB155" s="15">
        <f>_xlfn.XLOOKUP(K155,AF256:AF398,AH256:AH398)</f>
      </c>
    </row>
    <row r="156" ht="8.35" customHeight="1" hidden="1">
      <c r="A156" s="11">
        <v>76</v>
      </c>
      <c r="B156" t="s" s="12">
        <v>28</v>
      </c>
      <c r="C156" s="13">
        <v>103</v>
      </c>
      <c r="D156" s="13">
        <v>7561</v>
      </c>
      <c r="E156" s="13">
        <v>2022</v>
      </c>
      <c r="F156" t="s" s="14">
        <v>29</v>
      </c>
      <c r="G156" s="13">
        <v>3</v>
      </c>
      <c r="H156" s="13">
        <v>55.5</v>
      </c>
      <c r="I156" t="s" s="14">
        <v>295</v>
      </c>
      <c r="J156" t="s" s="14">
        <v>296</v>
      </c>
      <c r="K156" s="15"/>
      <c r="L156" s="13">
        <v>42.1</v>
      </c>
      <c r="M156" s="13">
        <v>-60.9</v>
      </c>
      <c r="N156" s="13">
        <v>213.8</v>
      </c>
      <c r="O156" s="13">
        <v>96.40000000000001</v>
      </c>
      <c r="P156" s="13">
        <v>6.59999999999999</v>
      </c>
      <c r="Q156" s="15"/>
      <c r="R156" s="13">
        <v>213.208888888889</v>
      </c>
      <c r="S156" s="16">
        <v>1627.093555555560</v>
      </c>
      <c r="T156" s="13">
        <v>-26.4791111111111</v>
      </c>
      <c r="U156" s="16">
        <v>2651.024017373740</v>
      </c>
      <c r="V156" s="13">
        <v>176.409166666667</v>
      </c>
      <c r="W156" s="13">
        <v>0.619670678091846</v>
      </c>
      <c r="X156" s="13">
        <v>144.915671979362</v>
      </c>
      <c r="Y156" s="13">
        <f>X156-O156</f>
        <v>48.515671979362</v>
      </c>
      <c r="Z156" s="13">
        <f>Y156*4800/SUM(Y3:Y252)</f>
        <v>16.4354977825553</v>
      </c>
      <c r="AA156" s="15"/>
      <c r="AB156" s="15"/>
    </row>
    <row r="157" ht="8.35" customHeight="1" hidden="1">
      <c r="A157" s="11">
        <v>120</v>
      </c>
      <c r="B157" t="s" s="12">
        <v>46</v>
      </c>
      <c r="C157" s="13">
        <v>157.9</v>
      </c>
      <c r="D157" s="13">
        <v>7090</v>
      </c>
      <c r="E157" s="13">
        <v>2022</v>
      </c>
      <c r="F157" t="s" s="14">
        <v>29</v>
      </c>
      <c r="G157" s="13">
        <v>4</v>
      </c>
      <c r="H157" s="13">
        <v>72.7</v>
      </c>
      <c r="I157" t="s" s="14">
        <v>297</v>
      </c>
      <c r="J157" t="s" s="14">
        <v>298</v>
      </c>
      <c r="K157" s="15"/>
      <c r="L157" s="13">
        <v>81.5</v>
      </c>
      <c r="M157" s="13">
        <v>-76.40000000000001</v>
      </c>
      <c r="N157" s="13">
        <v>183</v>
      </c>
      <c r="O157" s="13">
        <v>121.5</v>
      </c>
      <c r="P157" s="13">
        <v>36.4</v>
      </c>
      <c r="Q157" s="15"/>
      <c r="R157" s="13">
        <v>191.8725</v>
      </c>
      <c r="S157" s="13">
        <v>1211.201165492960</v>
      </c>
      <c r="T157" s="13">
        <v>-15.8213888888889</v>
      </c>
      <c r="U157" s="13">
        <v>2443.102854381850</v>
      </c>
      <c r="V157" s="13">
        <v>176.051111111111</v>
      </c>
      <c r="W157" s="13">
        <v>0.668554898851997</v>
      </c>
      <c r="X157" s="13">
        <v>169.160018698751</v>
      </c>
      <c r="Y157" s="13">
        <f>X157-O157</f>
        <v>47.660018698751</v>
      </c>
      <c r="Z157" s="13">
        <f>Y157*4800/SUM(Y3:Y252)</f>
        <v>16.1456308792977</v>
      </c>
      <c r="AA157" s="15"/>
      <c r="AB157" s="15"/>
    </row>
    <row r="158" ht="8.35" customHeight="1" hidden="1">
      <c r="A158" s="11">
        <v>102</v>
      </c>
      <c r="B158" t="s" s="12">
        <v>46</v>
      </c>
      <c r="C158" s="13">
        <v>156.7</v>
      </c>
      <c r="D158" s="13">
        <v>4983</v>
      </c>
      <c r="E158" s="13">
        <v>2022</v>
      </c>
      <c r="F158" t="s" s="14">
        <v>29</v>
      </c>
      <c r="G158" s="13">
        <v>6</v>
      </c>
      <c r="H158" s="13">
        <v>40.1</v>
      </c>
      <c r="I158" t="s" s="14">
        <v>231</v>
      </c>
      <c r="J158" t="s" s="14">
        <v>232</v>
      </c>
      <c r="K158" s="15"/>
      <c r="L158" s="13">
        <v>167.6</v>
      </c>
      <c r="M158" s="13">
        <v>10.9</v>
      </c>
      <c r="N158" s="13">
        <v>183</v>
      </c>
      <c r="O158" s="13">
        <v>121.5</v>
      </c>
      <c r="P158" s="13">
        <v>35.2</v>
      </c>
      <c r="Q158" s="15"/>
      <c r="R158" s="13">
        <v>191.8725</v>
      </c>
      <c r="S158" s="13">
        <v>1211.201165492960</v>
      </c>
      <c r="T158" s="13">
        <v>-15.8213888888889</v>
      </c>
      <c r="U158" s="13">
        <v>2443.102854381850</v>
      </c>
      <c r="V158" s="13">
        <v>176.051111111111</v>
      </c>
      <c r="W158" s="13">
        <v>0.668554898851997</v>
      </c>
      <c r="X158" s="13">
        <v>168.357752820128</v>
      </c>
      <c r="Y158" s="13">
        <f>X158-O158</f>
        <v>46.857752820128</v>
      </c>
      <c r="Z158" s="13">
        <f>Y158*4800/SUM(Y3:Y252)</f>
        <v>15.8738498540913</v>
      </c>
      <c r="AA158" s="15"/>
      <c r="AB158" s="15"/>
    </row>
    <row r="159" ht="8.35" customHeight="1" hidden="1">
      <c r="A159" s="11">
        <v>118</v>
      </c>
      <c r="B159" t="s" s="12">
        <v>46</v>
      </c>
      <c r="C159" s="13">
        <v>156.3</v>
      </c>
      <c r="D159" s="13">
        <v>1689</v>
      </c>
      <c r="E159" s="13">
        <v>2022</v>
      </c>
      <c r="F159" t="s" s="14">
        <v>29</v>
      </c>
      <c r="G159" s="13">
        <v>11</v>
      </c>
      <c r="H159" s="13">
        <v>69</v>
      </c>
      <c r="I159" t="s" s="14">
        <v>299</v>
      </c>
      <c r="J159" t="s" s="14">
        <v>300</v>
      </c>
      <c r="K159" s="15"/>
      <c r="L159" s="13">
        <v>145</v>
      </c>
      <c r="M159" s="13">
        <v>-11.3</v>
      </c>
      <c r="N159" s="13">
        <v>183</v>
      </c>
      <c r="O159" s="13">
        <v>121.5</v>
      </c>
      <c r="P159" s="13">
        <v>34.8</v>
      </c>
      <c r="Q159" s="15"/>
      <c r="R159" s="13">
        <v>191.8725</v>
      </c>
      <c r="S159" s="13">
        <v>1211.201165492960</v>
      </c>
      <c r="T159" s="13">
        <v>-15.8213888888889</v>
      </c>
      <c r="U159" s="13">
        <v>2443.102854381850</v>
      </c>
      <c r="V159" s="13">
        <v>176.051111111111</v>
      </c>
      <c r="W159" s="13">
        <v>0.668554898851997</v>
      </c>
      <c r="X159" s="13">
        <v>168.090330860587</v>
      </c>
      <c r="Y159" s="13">
        <f>X159-O159</f>
        <v>46.590330860587</v>
      </c>
      <c r="Z159" s="13">
        <f>Y159*4800/SUM(Y3:Y252)</f>
        <v>15.7832561790225</v>
      </c>
      <c r="AA159" s="15"/>
      <c r="AB159" s="15"/>
    </row>
    <row r="160" ht="20.05" customHeight="1">
      <c r="A160" s="11">
        <v>124</v>
      </c>
      <c r="B160" t="s" s="12">
        <v>46</v>
      </c>
      <c r="C160" s="13">
        <v>155.2</v>
      </c>
      <c r="D160" s="13">
        <v>9756</v>
      </c>
      <c r="E160" s="13">
        <v>2023</v>
      </c>
      <c r="F160" t="s" s="14">
        <v>29</v>
      </c>
      <c r="G160" s="13">
        <v>1</v>
      </c>
      <c r="H160" s="13">
        <v>83.5</v>
      </c>
      <c r="I160" t="s" s="14">
        <v>301</v>
      </c>
      <c r="J160" t="s" s="14">
        <v>302</v>
      </c>
      <c r="K160" t="s" s="14">
        <f>_xlfn.CONCAT(LEFT(I160,1),". ",J160)</f>
        <v>303</v>
      </c>
      <c r="L160" s="13">
        <v>186.3</v>
      </c>
      <c r="M160" s="13">
        <v>31.1</v>
      </c>
      <c r="N160" s="13">
        <v>183</v>
      </c>
      <c r="O160" s="13">
        <v>121.5</v>
      </c>
      <c r="P160" s="13">
        <v>33.7</v>
      </c>
      <c r="Q160" s="13">
        <f>P160*4800/SUM(P3:P252)</f>
        <v>10.7674038415456</v>
      </c>
      <c r="R160" s="13">
        <v>191.8725</v>
      </c>
      <c r="S160" s="13">
        <v>1211.201165492960</v>
      </c>
      <c r="T160" s="13">
        <v>-15.8213888888889</v>
      </c>
      <c r="U160" s="13">
        <v>2443.102854381850</v>
      </c>
      <c r="V160" s="13">
        <v>176.051111111111</v>
      </c>
      <c r="W160" s="13">
        <v>0.668554898851997</v>
      </c>
      <c r="X160" s="13">
        <v>167.354920471850</v>
      </c>
      <c r="Y160" s="13">
        <f>X160-O160</f>
        <v>45.854920471850</v>
      </c>
      <c r="Z160" s="13">
        <f>Y160*4800/SUM(Y3:Y252)</f>
        <v>15.5341235725836</v>
      </c>
      <c r="AA160" s="15"/>
      <c r="AB160" s="13">
        <f>_xlfn.XLOOKUP(K160,AF256:AF398,AH256:AH398)</f>
        <v>8</v>
      </c>
    </row>
    <row r="161" ht="20.05" customHeight="1">
      <c r="A161" s="11">
        <v>74</v>
      </c>
      <c r="B161" t="s" s="12">
        <v>28</v>
      </c>
      <c r="C161" s="13">
        <v>96.40000000000001</v>
      </c>
      <c r="D161" s="13">
        <v>6938</v>
      </c>
      <c r="E161" s="13">
        <v>2023</v>
      </c>
      <c r="F161" t="s" s="14">
        <v>29</v>
      </c>
      <c r="G161" s="13">
        <v>4</v>
      </c>
      <c r="H161" s="13">
        <v>58.1</v>
      </c>
      <c r="I161" t="s" s="14">
        <v>127</v>
      </c>
      <c r="J161" t="s" s="14">
        <v>128</v>
      </c>
      <c r="K161" t="s" s="14">
        <f>_xlfn.CONCAT(LEFT(I161,1),". ",J161)</f>
        <v>304</v>
      </c>
      <c r="L161" s="13">
        <v>41.2</v>
      </c>
      <c r="M161" s="13">
        <v>-55.2</v>
      </c>
      <c r="N161" s="13">
        <v>213.8</v>
      </c>
      <c r="O161" s="13">
        <v>96.40000000000001</v>
      </c>
      <c r="P161" s="13">
        <v>0</v>
      </c>
      <c r="Q161" s="13">
        <f>P161*4800/SUM(P3:P252)</f>
        <v>0</v>
      </c>
      <c r="R161" s="13">
        <v>213.208888888889</v>
      </c>
      <c r="S161" s="16">
        <v>1627.093555555560</v>
      </c>
      <c r="T161" s="13">
        <v>-26.4791111111111</v>
      </c>
      <c r="U161" s="16">
        <v>2651.024017373740</v>
      </c>
      <c r="V161" s="13">
        <v>176.409166666667</v>
      </c>
      <c r="W161" s="13">
        <v>0.619670678091846</v>
      </c>
      <c r="X161" s="13">
        <v>140.825845503956</v>
      </c>
      <c r="Y161" s="13">
        <f>X161-O161</f>
        <v>44.425845503956</v>
      </c>
      <c r="Z161" s="13">
        <f>Y161*4800/SUM(Y3:Y252)</f>
        <v>15.0500004530292</v>
      </c>
      <c r="AA161" s="15"/>
      <c r="AB161" s="13">
        <f>_xlfn.XLOOKUP(K161,AF256:AF398,AH256:AH398)</f>
        <v>11</v>
      </c>
    </row>
    <row r="162" ht="20.05" customHeight="1">
      <c r="A162" s="11">
        <v>112</v>
      </c>
      <c r="B162" t="s" s="12">
        <v>46</v>
      </c>
      <c r="C162" s="13">
        <v>151.2</v>
      </c>
      <c r="D162" s="13">
        <v>8167</v>
      </c>
      <c r="E162" s="13">
        <v>2023</v>
      </c>
      <c r="F162" t="s" s="14">
        <v>29</v>
      </c>
      <c r="G162" s="13">
        <v>2</v>
      </c>
      <c r="H162" s="13">
        <v>60.3</v>
      </c>
      <c r="I162" t="s" s="14">
        <v>30</v>
      </c>
      <c r="J162" t="s" s="14">
        <v>278</v>
      </c>
      <c r="K162" t="s" s="14">
        <f>_xlfn.CONCAT(LEFT(I162,1),". ",J162)</f>
        <v>305</v>
      </c>
      <c r="L162" s="13">
        <v>87.3</v>
      </c>
      <c r="M162" s="13">
        <v>-63.9</v>
      </c>
      <c r="N162" s="13">
        <v>183</v>
      </c>
      <c r="O162" s="13">
        <v>121.5</v>
      </c>
      <c r="P162" s="13">
        <v>29.7</v>
      </c>
      <c r="Q162" s="13">
        <f>P162*4800/SUM(P3:P252)</f>
        <v>9.489373711985261</v>
      </c>
      <c r="R162" s="13">
        <v>191.8725</v>
      </c>
      <c r="S162" s="13">
        <v>1211.201165492960</v>
      </c>
      <c r="T162" s="13">
        <v>-15.8213888888889</v>
      </c>
      <c r="U162" s="13">
        <v>2443.102854381850</v>
      </c>
      <c r="V162" s="13">
        <v>176.051111111111</v>
      </c>
      <c r="W162" s="13">
        <v>0.668554898851997</v>
      </c>
      <c r="X162" s="13">
        <v>164.680700876442</v>
      </c>
      <c r="Y162" s="13">
        <f>X162-O162</f>
        <v>43.180700876442</v>
      </c>
      <c r="Z162" s="13">
        <f>Y162*4800/SUM(Y3:Y252)</f>
        <v>14.6281868218963</v>
      </c>
      <c r="AA162" s="15"/>
      <c r="AB162" s="13">
        <f>_xlfn.XLOOKUP(K162,AF256:AF398,AH256:AH398)</f>
        <v>13</v>
      </c>
    </row>
    <row r="163" ht="8.35" customHeight="1" hidden="1">
      <c r="A163" s="11">
        <v>111</v>
      </c>
      <c r="B163" t="s" s="12">
        <v>46</v>
      </c>
      <c r="C163" s="13">
        <v>151</v>
      </c>
      <c r="D163" s="13">
        <v>5848</v>
      </c>
      <c r="E163" s="13">
        <v>2022</v>
      </c>
      <c r="F163" t="s" s="14">
        <v>29</v>
      </c>
      <c r="G163" s="13">
        <v>5</v>
      </c>
      <c r="H163" s="13">
        <v>57.9</v>
      </c>
      <c r="I163" t="s" s="14">
        <v>293</v>
      </c>
      <c r="J163" t="s" s="14">
        <v>125</v>
      </c>
      <c r="K163" s="15"/>
      <c r="L163" s="13">
        <v>122.5</v>
      </c>
      <c r="M163" s="13">
        <v>-28.5</v>
      </c>
      <c r="N163" s="13">
        <v>183</v>
      </c>
      <c r="O163" s="13">
        <v>121.5</v>
      </c>
      <c r="P163" s="13">
        <v>29.5</v>
      </c>
      <c r="Q163" s="15"/>
      <c r="R163" s="13">
        <v>191.8725</v>
      </c>
      <c r="S163" s="13">
        <v>1211.201165492960</v>
      </c>
      <c r="T163" s="13">
        <v>-15.8213888888889</v>
      </c>
      <c r="U163" s="13">
        <v>2443.102854381850</v>
      </c>
      <c r="V163" s="13">
        <v>176.051111111111</v>
      </c>
      <c r="W163" s="13">
        <v>0.668554898851997</v>
      </c>
      <c r="X163" s="13">
        <v>164.546989896672</v>
      </c>
      <c r="Y163" s="13">
        <f>X163-O163</f>
        <v>43.046989896672</v>
      </c>
      <c r="Z163" s="13">
        <f>Y163*4800/SUM(Y3:Y252)</f>
        <v>14.5828899843621</v>
      </c>
      <c r="AA163" s="15"/>
      <c r="AB163" s="15"/>
    </row>
    <row r="164" ht="20.05" customHeight="1">
      <c r="A164" s="11">
        <v>80</v>
      </c>
      <c r="B164" t="s" s="12">
        <v>145</v>
      </c>
      <c r="C164" s="13">
        <v>147.9</v>
      </c>
      <c r="D164" s="13">
        <v>5844</v>
      </c>
      <c r="E164" s="13">
        <v>2023</v>
      </c>
      <c r="F164" t="s" s="14">
        <v>29</v>
      </c>
      <c r="G164" s="13">
        <v>5</v>
      </c>
      <c r="H164" s="13">
        <v>48.4</v>
      </c>
      <c r="I164" t="s" s="14">
        <v>306</v>
      </c>
      <c r="J164" t="s" s="14">
        <v>307</v>
      </c>
      <c r="K164" t="s" s="14">
        <f>_xlfn.CONCAT(LEFT(I164,1),". ",J164)</f>
        <v>308</v>
      </c>
      <c r="L164" s="13">
        <v>171.5</v>
      </c>
      <c r="M164" s="13">
        <v>23.6</v>
      </c>
      <c r="N164" s="13">
        <v>137.15</v>
      </c>
      <c r="O164" s="13">
        <v>104.6</v>
      </c>
      <c r="P164" s="13">
        <v>43.3</v>
      </c>
      <c r="Q164" s="13">
        <f>P164*4800/SUM(P3:P252)</f>
        <v>13.8346761524903</v>
      </c>
      <c r="R164" s="13">
        <v>143.691666666667</v>
      </c>
      <c r="S164" s="13">
        <v>922.432101449276</v>
      </c>
      <c r="T164" s="13">
        <v>-13.4541666666667</v>
      </c>
      <c r="U164" s="13">
        <v>1365.687807971010</v>
      </c>
      <c r="V164" s="13">
        <v>130.2375</v>
      </c>
      <c r="W164" s="13">
        <v>0.596860244233013</v>
      </c>
      <c r="X164" s="13">
        <v>146.203453527814</v>
      </c>
      <c r="Y164" s="13">
        <f>X164-O164</f>
        <v>41.603453527814</v>
      </c>
      <c r="Z164" s="13">
        <f>Y164*4800/SUM(Y3:Y252)</f>
        <v>14.0938678226265</v>
      </c>
      <c r="AA164" s="15"/>
      <c r="AB164" s="13">
        <f>_xlfn.XLOOKUP(K164,AF256:AF398,AH256:AH398)</f>
        <v>18</v>
      </c>
    </row>
    <row r="165" ht="8.35" customHeight="1" hidden="1">
      <c r="A165" s="11">
        <v>84</v>
      </c>
      <c r="B165" t="s" s="12">
        <v>145</v>
      </c>
      <c r="C165" s="13">
        <v>146</v>
      </c>
      <c r="D165" s="13">
        <v>5022</v>
      </c>
      <c r="E165" s="13">
        <v>2022</v>
      </c>
      <c r="F165" t="s" s="14">
        <v>29</v>
      </c>
      <c r="G165" s="13">
        <v>6</v>
      </c>
      <c r="H165" s="13">
        <v>79</v>
      </c>
      <c r="I165" t="s" s="14">
        <v>309</v>
      </c>
      <c r="J165" t="s" s="14">
        <v>310</v>
      </c>
      <c r="K165" s="15"/>
      <c r="L165" s="13">
        <v>113.7</v>
      </c>
      <c r="M165" s="13">
        <v>-32.3</v>
      </c>
      <c r="N165" s="13">
        <v>137.15</v>
      </c>
      <c r="O165" s="13">
        <v>104.6</v>
      </c>
      <c r="P165" s="13">
        <v>41.4</v>
      </c>
      <c r="Q165" s="15"/>
      <c r="R165" s="13">
        <v>143.691666666667</v>
      </c>
      <c r="S165" s="13">
        <v>922.432101449276</v>
      </c>
      <c r="T165" s="13">
        <v>-13.4541666666667</v>
      </c>
      <c r="U165" s="13">
        <v>1365.687807971010</v>
      </c>
      <c r="V165" s="13">
        <v>130.2375</v>
      </c>
      <c r="W165" s="13">
        <v>0.596860244233013</v>
      </c>
      <c r="X165" s="13">
        <v>145.069419063771</v>
      </c>
      <c r="Y165" s="13">
        <f>X165-O165</f>
        <v>40.469419063771</v>
      </c>
      <c r="Z165" s="13">
        <f>Y165*4800/SUM(Y3:Y252)</f>
        <v>13.7096946233549</v>
      </c>
      <c r="AA165" s="15"/>
      <c r="AB165" s="15"/>
    </row>
    <row r="166" ht="20.05" customHeight="1">
      <c r="A166" s="11">
        <v>79</v>
      </c>
      <c r="B166" t="s" s="12">
        <v>145</v>
      </c>
      <c r="C166" s="13">
        <v>144.2</v>
      </c>
      <c r="D166" s="13">
        <v>4217</v>
      </c>
      <c r="E166" s="13">
        <v>2023</v>
      </c>
      <c r="F166" t="s" s="14">
        <v>29</v>
      </c>
      <c r="G166" s="13">
        <v>7</v>
      </c>
      <c r="H166" s="13">
        <v>44.7</v>
      </c>
      <c r="I166" t="s" s="14">
        <v>288</v>
      </c>
      <c r="J166" t="s" s="14">
        <v>311</v>
      </c>
      <c r="K166" t="s" s="14">
        <f>_xlfn.CONCAT(LEFT(I166,1),". ",J166)</f>
        <v>312</v>
      </c>
      <c r="L166" s="13">
        <v>170.7</v>
      </c>
      <c r="M166" s="13">
        <v>26.5</v>
      </c>
      <c r="N166" s="13">
        <v>137.15</v>
      </c>
      <c r="O166" s="13">
        <v>104.6</v>
      </c>
      <c r="P166" s="13">
        <v>39.6</v>
      </c>
      <c r="Q166" s="13">
        <f>P166*4800/SUM(P3:P252)</f>
        <v>12.652498282647</v>
      </c>
      <c r="R166" s="13">
        <v>143.691666666667</v>
      </c>
      <c r="S166" s="13">
        <v>922.432101449276</v>
      </c>
      <c r="T166" s="13">
        <v>-13.4541666666667</v>
      </c>
      <c r="U166" s="13">
        <v>1365.687807971010</v>
      </c>
      <c r="V166" s="13">
        <v>130.2375</v>
      </c>
      <c r="W166" s="13">
        <v>0.596860244233013</v>
      </c>
      <c r="X166" s="13">
        <v>143.995070624152</v>
      </c>
      <c r="Y166" s="13">
        <f>X166-O166</f>
        <v>39.395070624152</v>
      </c>
      <c r="Z166" s="13">
        <f>Y166*4800/SUM(Y3:Y252)</f>
        <v>13.3457410661505</v>
      </c>
      <c r="AA166" s="15"/>
      <c r="AB166" s="13">
        <f>_xlfn.XLOOKUP(K166,AF256:AF398,AH256:AH398)</f>
        <v>14</v>
      </c>
    </row>
    <row r="167" ht="8.35" customHeight="1" hidden="1">
      <c r="A167" s="11">
        <v>80</v>
      </c>
      <c r="B167" t="s" s="12">
        <v>145</v>
      </c>
      <c r="C167" s="13">
        <v>143.6</v>
      </c>
      <c r="D167" s="13">
        <v>4217</v>
      </c>
      <c r="E167" s="13">
        <v>2022</v>
      </c>
      <c r="F167" t="s" s="14">
        <v>29</v>
      </c>
      <c r="G167" s="13">
        <v>7</v>
      </c>
      <c r="H167" s="13">
        <v>38.2</v>
      </c>
      <c r="I167" t="s" s="14">
        <v>288</v>
      </c>
      <c r="J167" t="s" s="14">
        <v>311</v>
      </c>
      <c r="K167" s="15"/>
      <c r="L167" s="13">
        <v>171.5</v>
      </c>
      <c r="M167" s="13">
        <v>27.9</v>
      </c>
      <c r="N167" s="13">
        <v>137.15</v>
      </c>
      <c r="O167" s="13">
        <v>104.6</v>
      </c>
      <c r="P167" s="13">
        <v>39</v>
      </c>
      <c r="Q167" s="15"/>
      <c r="R167" s="13">
        <v>143.691666666667</v>
      </c>
      <c r="S167" s="13">
        <v>922.432101449276</v>
      </c>
      <c r="T167" s="13">
        <v>-13.4541666666667</v>
      </c>
      <c r="U167" s="13">
        <v>1365.687807971010</v>
      </c>
      <c r="V167" s="13">
        <v>130.2375</v>
      </c>
      <c r="W167" s="13">
        <v>0.596860244233013</v>
      </c>
      <c r="X167" s="13">
        <v>143.636954477612</v>
      </c>
      <c r="Y167" s="13">
        <f>X167-O167</f>
        <v>39.036954477612</v>
      </c>
      <c r="Z167" s="13">
        <f>Y167*4800/SUM(Y3:Y252)</f>
        <v>13.224423213749</v>
      </c>
      <c r="AA167" s="15"/>
      <c r="AB167" s="15"/>
    </row>
    <row r="168" ht="20.05" customHeight="1">
      <c r="A168" s="11">
        <v>81</v>
      </c>
      <c r="B168" t="s" s="12">
        <v>145</v>
      </c>
      <c r="C168" s="13">
        <v>143.1</v>
      </c>
      <c r="D168" s="13">
        <v>2505</v>
      </c>
      <c r="E168" s="13">
        <v>2023</v>
      </c>
      <c r="F168" t="s" s="14">
        <v>29</v>
      </c>
      <c r="G168" s="13">
        <v>9</v>
      </c>
      <c r="H168" s="13">
        <v>55</v>
      </c>
      <c r="I168" t="s" s="14">
        <v>313</v>
      </c>
      <c r="J168" t="s" s="14">
        <v>314</v>
      </c>
      <c r="K168" t="s" s="14">
        <f>_xlfn.CONCAT(LEFT(I168,1),". ",J168)</f>
        <v>315</v>
      </c>
      <c r="L168" s="13">
        <v>87.2</v>
      </c>
      <c r="M168" s="13">
        <v>-55.9</v>
      </c>
      <c r="N168" s="13">
        <v>137.15</v>
      </c>
      <c r="O168" s="13">
        <v>104.6</v>
      </c>
      <c r="P168" s="13">
        <v>38.5</v>
      </c>
      <c r="Q168" s="13">
        <f>P168*4800/SUM(P3:P252)</f>
        <v>12.3010399970179</v>
      </c>
      <c r="R168" s="13">
        <v>143.691666666667</v>
      </c>
      <c r="S168" s="13">
        <v>922.432101449276</v>
      </c>
      <c r="T168" s="13">
        <v>-13.4541666666667</v>
      </c>
      <c r="U168" s="13">
        <v>1365.687807971010</v>
      </c>
      <c r="V168" s="13">
        <v>130.2375</v>
      </c>
      <c r="W168" s="13">
        <v>0.596860244233013</v>
      </c>
      <c r="X168" s="13">
        <v>143.338524355495</v>
      </c>
      <c r="Y168" s="13">
        <f>X168-O168</f>
        <v>38.738524355495</v>
      </c>
      <c r="Z168" s="13">
        <f>Y168*4800/SUM(Y3:Y252)</f>
        <v>13.1233250034142</v>
      </c>
      <c r="AA168" s="15"/>
      <c r="AB168" s="13">
        <f>_xlfn.XLOOKUP(K168,AF256:AF398,AH256:AH398)</f>
        <v>17</v>
      </c>
    </row>
    <row r="169" ht="8.35" customHeight="1" hidden="1">
      <c r="A169" s="11">
        <v>83</v>
      </c>
      <c r="B169" t="s" s="12">
        <v>145</v>
      </c>
      <c r="C169" s="13">
        <v>139.1</v>
      </c>
      <c r="D169" s="13">
        <v>5844</v>
      </c>
      <c r="E169" s="13">
        <v>2022</v>
      </c>
      <c r="F169" t="s" s="14">
        <v>29</v>
      </c>
      <c r="G169" s="13">
        <v>5</v>
      </c>
      <c r="H169" s="13">
        <v>71.8</v>
      </c>
      <c r="I169" t="s" s="14">
        <v>306</v>
      </c>
      <c r="J169" t="s" s="14">
        <v>307</v>
      </c>
      <c r="K169" s="15"/>
      <c r="L169" s="13">
        <v>172.4</v>
      </c>
      <c r="M169" s="13">
        <v>33.3</v>
      </c>
      <c r="N169" s="13">
        <v>137.15</v>
      </c>
      <c r="O169" s="13">
        <v>104.6</v>
      </c>
      <c r="P169" s="13">
        <v>34.5</v>
      </c>
      <c r="Q169" s="15"/>
      <c r="R169" s="13">
        <v>143.691666666667</v>
      </c>
      <c r="S169" s="13">
        <v>922.432101449276</v>
      </c>
      <c r="T169" s="13">
        <v>-13.4541666666667</v>
      </c>
      <c r="U169" s="13">
        <v>1365.687807971010</v>
      </c>
      <c r="V169" s="13">
        <v>130.2375</v>
      </c>
      <c r="W169" s="13">
        <v>0.596860244233013</v>
      </c>
      <c r="X169" s="13">
        <v>140.951083378563</v>
      </c>
      <c r="Y169" s="13">
        <f>X169-O169</f>
        <v>36.351083378563</v>
      </c>
      <c r="Z169" s="13">
        <f>Y169*4800/SUM(Y3:Y252)</f>
        <v>12.3145393207375</v>
      </c>
      <c r="AA169" s="15"/>
      <c r="AB169" s="15"/>
    </row>
    <row r="170" ht="20.05" customHeight="1">
      <c r="A170" s="11">
        <v>83</v>
      </c>
      <c r="B170" t="s" s="12">
        <v>145</v>
      </c>
      <c r="C170" s="13">
        <v>138.4</v>
      </c>
      <c r="D170" s="13">
        <v>5022</v>
      </c>
      <c r="E170" s="13">
        <v>2023</v>
      </c>
      <c r="F170" t="s" s="14">
        <v>29</v>
      </c>
      <c r="G170" s="13">
        <v>6</v>
      </c>
      <c r="H170" s="13">
        <v>62.6</v>
      </c>
      <c r="I170" t="s" s="14">
        <v>309</v>
      </c>
      <c r="J170" t="s" s="14">
        <v>310</v>
      </c>
      <c r="K170" t="s" s="14">
        <f>_xlfn.CONCAT(LEFT(I170,1),". ",J170)</f>
        <v>316</v>
      </c>
      <c r="L170" s="13">
        <v>106.8</v>
      </c>
      <c r="M170" s="13">
        <v>-31.6</v>
      </c>
      <c r="N170" s="13">
        <v>137.15</v>
      </c>
      <c r="O170" s="13">
        <v>104.6</v>
      </c>
      <c r="P170" s="13">
        <v>33.8</v>
      </c>
      <c r="Q170" s="13">
        <f>P170*4800/SUM(P3:P252)</f>
        <v>10.7993545947846</v>
      </c>
      <c r="R170" s="13">
        <v>143.691666666667</v>
      </c>
      <c r="S170" s="13">
        <v>922.432101449276</v>
      </c>
      <c r="T170" s="13">
        <v>-13.4541666666667</v>
      </c>
      <c r="U170" s="13">
        <v>1365.687807971010</v>
      </c>
      <c r="V170" s="13">
        <v>130.2375</v>
      </c>
      <c r="W170" s="13">
        <v>0.596860244233013</v>
      </c>
      <c r="X170" s="13">
        <v>140.5332812076</v>
      </c>
      <c r="Y170" s="13">
        <f>X170-O170</f>
        <v>35.9332812076</v>
      </c>
      <c r="Z170" s="13">
        <f>Y170*4800/SUM(Y3:Y252)</f>
        <v>12.1730018262691</v>
      </c>
      <c r="AA170" s="15"/>
      <c r="AB170" s="13">
        <f>_xlfn.XLOOKUP(K170,AF256:AF398,AH256:AH398)</f>
        <v>9</v>
      </c>
    </row>
    <row r="171" ht="8.35" customHeight="1" hidden="1">
      <c r="A171" s="11">
        <v>81</v>
      </c>
      <c r="B171" t="s" s="12">
        <v>145</v>
      </c>
      <c r="C171" s="13">
        <v>137.2</v>
      </c>
      <c r="D171" s="13">
        <v>2505</v>
      </c>
      <c r="E171" s="13">
        <v>2022</v>
      </c>
      <c r="F171" t="s" s="14">
        <v>29</v>
      </c>
      <c r="G171" s="13">
        <v>9</v>
      </c>
      <c r="H171" s="13">
        <v>47.4</v>
      </c>
      <c r="I171" t="s" s="14">
        <v>313</v>
      </c>
      <c r="J171" t="s" s="14">
        <v>314</v>
      </c>
      <c r="K171" s="15"/>
      <c r="L171" s="13">
        <v>70.8</v>
      </c>
      <c r="M171" s="13">
        <v>-66.40000000000001</v>
      </c>
      <c r="N171" s="13">
        <v>137.15</v>
      </c>
      <c r="O171" s="13">
        <v>104.6</v>
      </c>
      <c r="P171" s="13">
        <v>32.6</v>
      </c>
      <c r="Q171" s="15"/>
      <c r="R171" s="13">
        <v>143.691666666667</v>
      </c>
      <c r="S171" s="13">
        <v>922.432101449276</v>
      </c>
      <c r="T171" s="13">
        <v>-13.4541666666667</v>
      </c>
      <c r="U171" s="13">
        <v>1365.687807971010</v>
      </c>
      <c r="V171" s="13">
        <v>130.2375</v>
      </c>
      <c r="W171" s="13">
        <v>0.596860244233013</v>
      </c>
      <c r="X171" s="13">
        <v>139.817048914521</v>
      </c>
      <c r="Y171" s="13">
        <f>X171-O171</f>
        <v>35.217048914521</v>
      </c>
      <c r="Z171" s="13">
        <f>Y171*4800/SUM(Y3:Y252)</f>
        <v>11.9303661214663</v>
      </c>
      <c r="AA171" s="15"/>
      <c r="AB171" s="15"/>
    </row>
    <row r="172" ht="20.05" customHeight="1">
      <c r="A172" s="11">
        <v>82</v>
      </c>
      <c r="B172" t="s" s="12">
        <v>145</v>
      </c>
      <c r="C172" s="13">
        <v>137.1</v>
      </c>
      <c r="D172" s="13">
        <v>7553</v>
      </c>
      <c r="E172" s="13">
        <v>2023</v>
      </c>
      <c r="F172" t="s" s="14">
        <v>29</v>
      </c>
      <c r="G172" s="13">
        <v>3</v>
      </c>
      <c r="H172" s="13">
        <v>61.5</v>
      </c>
      <c r="I172" t="s" s="14">
        <v>317</v>
      </c>
      <c r="J172" t="s" s="14">
        <v>318</v>
      </c>
      <c r="K172" t="s" s="14">
        <f>_xlfn.CONCAT(LEFT(I172,1),". ",J172)</f>
        <v>319</v>
      </c>
      <c r="L172" s="13">
        <v>110.8</v>
      </c>
      <c r="M172" s="13">
        <v>-26.3</v>
      </c>
      <c r="N172" s="13">
        <v>137.15</v>
      </c>
      <c r="O172" s="13">
        <v>104.6</v>
      </c>
      <c r="P172" s="13">
        <v>32.5</v>
      </c>
      <c r="Q172" s="13">
        <f>P172*4800/SUM(P3:P252)</f>
        <v>10.3839948026775</v>
      </c>
      <c r="R172" s="13">
        <v>143.691666666667</v>
      </c>
      <c r="S172" s="13">
        <v>922.432101449276</v>
      </c>
      <c r="T172" s="13">
        <v>-13.4541666666667</v>
      </c>
      <c r="U172" s="13">
        <v>1365.687807971010</v>
      </c>
      <c r="V172" s="13">
        <v>130.2375</v>
      </c>
      <c r="W172" s="13">
        <v>0.596860244233013</v>
      </c>
      <c r="X172" s="13">
        <v>139.757362890097</v>
      </c>
      <c r="Y172" s="13">
        <f>X172-O172</f>
        <v>35.157362890097</v>
      </c>
      <c r="Z172" s="13">
        <f>Y172*4800/SUM(Y3:Y252)</f>
        <v>11.9101464793991</v>
      </c>
      <c r="AA172" s="15"/>
      <c r="AB172" s="13">
        <f>_xlfn.XLOOKUP(K172,AF256:AF398,AH256:AH398)</f>
        <v>7</v>
      </c>
    </row>
    <row r="173" ht="20.05" customHeight="1">
      <c r="A173" s="11">
        <v>122</v>
      </c>
      <c r="B173" t="s" s="12">
        <v>46</v>
      </c>
      <c r="C173" s="13">
        <v>137.6</v>
      </c>
      <c r="D173" s="13">
        <v>5937</v>
      </c>
      <c r="E173" s="13">
        <v>2023</v>
      </c>
      <c r="F173" t="s" s="14">
        <v>29</v>
      </c>
      <c r="G173" s="13">
        <v>5</v>
      </c>
      <c r="H173" s="13">
        <v>80.09999999999999</v>
      </c>
      <c r="I173" t="s" s="14">
        <v>275</v>
      </c>
      <c r="J173" t="s" s="14">
        <v>276</v>
      </c>
      <c r="K173" t="s" s="14">
        <f>_xlfn.CONCAT(LEFT(I173,1),". ",J173)</f>
        <v>320</v>
      </c>
      <c r="L173" s="13">
        <v>127.2</v>
      </c>
      <c r="M173" s="13">
        <v>-10.4</v>
      </c>
      <c r="N173" s="13">
        <v>183</v>
      </c>
      <c r="O173" s="13">
        <v>121.5</v>
      </c>
      <c r="P173" s="13">
        <v>16.1</v>
      </c>
      <c r="Q173" s="13">
        <f>P173*4800/SUM(P3:P252)</f>
        <v>5.14407127148023</v>
      </c>
      <c r="R173" s="13">
        <v>191.8725</v>
      </c>
      <c r="S173" s="13">
        <v>1211.201165492960</v>
      </c>
      <c r="T173" s="13">
        <v>-15.8213888888889</v>
      </c>
      <c r="U173" s="13">
        <v>2443.102854381850</v>
      </c>
      <c r="V173" s="13">
        <v>176.051111111111</v>
      </c>
      <c r="W173" s="13">
        <v>0.668554898851997</v>
      </c>
      <c r="X173" s="13">
        <v>155.588354252055</v>
      </c>
      <c r="Y173" s="13">
        <f>X173-O173</f>
        <v>34.088354252055</v>
      </c>
      <c r="Z173" s="13">
        <f>Y173*4800/SUM(Y3:Y252)</f>
        <v>11.5480018695595</v>
      </c>
      <c r="AA173" s="15"/>
      <c r="AB173" s="13">
        <f>_xlfn.XLOOKUP(K173,AF256:AF398,AH256:AH398)</f>
        <v>9</v>
      </c>
    </row>
    <row r="174" ht="8.35" customHeight="1" hidden="1">
      <c r="A174" s="11">
        <v>79</v>
      </c>
      <c r="B174" t="s" s="12">
        <v>145</v>
      </c>
      <c r="C174" s="13">
        <v>134.1</v>
      </c>
      <c r="D174" s="13">
        <v>7553</v>
      </c>
      <c r="E174" s="13">
        <v>2022</v>
      </c>
      <c r="F174" t="s" s="14">
        <v>29</v>
      </c>
      <c r="G174" s="13">
        <v>3</v>
      </c>
      <c r="H174" s="13">
        <v>31.5</v>
      </c>
      <c r="I174" t="s" s="14">
        <v>317</v>
      </c>
      <c r="J174" t="s" s="14">
        <v>318</v>
      </c>
      <c r="K174" s="15"/>
      <c r="L174" s="13">
        <v>61.6</v>
      </c>
      <c r="M174" s="13">
        <v>-72.5</v>
      </c>
      <c r="N174" s="13">
        <v>137.15</v>
      </c>
      <c r="O174" s="13">
        <v>104.6</v>
      </c>
      <c r="P174" s="13">
        <v>29.5</v>
      </c>
      <c r="Q174" s="15"/>
      <c r="R174" s="13">
        <v>143.691666666667</v>
      </c>
      <c r="S174" s="13">
        <v>922.432101449276</v>
      </c>
      <c r="T174" s="13">
        <v>-13.4541666666667</v>
      </c>
      <c r="U174" s="13">
        <v>1365.687807971010</v>
      </c>
      <c r="V174" s="13">
        <v>130.2375</v>
      </c>
      <c r="W174" s="13">
        <v>0.596860244233013</v>
      </c>
      <c r="X174" s="13">
        <v>137.966782157398</v>
      </c>
      <c r="Y174" s="13">
        <f>X174-O174</f>
        <v>33.366782157398</v>
      </c>
      <c r="Z174" s="13">
        <f>Y174*4800/SUM(Y3:Y252)</f>
        <v>11.3035572173916</v>
      </c>
      <c r="AA174" s="15"/>
      <c r="AB174" s="15"/>
    </row>
    <row r="175" ht="8.35" customHeight="1" hidden="1">
      <c r="A175" s="11">
        <v>86</v>
      </c>
      <c r="B175" t="s" s="12">
        <v>145</v>
      </c>
      <c r="C175" s="13">
        <v>134.1</v>
      </c>
      <c r="D175" s="13">
        <v>1339</v>
      </c>
      <c r="E175" s="13">
        <v>2022</v>
      </c>
      <c r="F175" t="s" s="14">
        <v>29</v>
      </c>
      <c r="G175" s="13">
        <v>11</v>
      </c>
      <c r="H175" s="13">
        <v>99.40000000000001</v>
      </c>
      <c r="I175" t="s" s="14">
        <v>321</v>
      </c>
      <c r="J175" t="s" s="14">
        <v>322</v>
      </c>
      <c r="K175" s="15"/>
      <c r="L175" s="13">
        <v>92.09999999999999</v>
      </c>
      <c r="M175" s="13">
        <v>-42</v>
      </c>
      <c r="N175" s="13">
        <v>137.15</v>
      </c>
      <c r="O175" s="13">
        <v>104.6</v>
      </c>
      <c r="P175" s="13">
        <v>29.5</v>
      </c>
      <c r="Q175" s="15"/>
      <c r="R175" s="13">
        <v>143.691666666667</v>
      </c>
      <c r="S175" s="13">
        <v>922.432101449276</v>
      </c>
      <c r="T175" s="13">
        <v>-13.4541666666667</v>
      </c>
      <c r="U175" s="13">
        <v>1365.687807971010</v>
      </c>
      <c r="V175" s="13">
        <v>130.2375</v>
      </c>
      <c r="W175" s="13">
        <v>0.596860244233013</v>
      </c>
      <c r="X175" s="13">
        <v>137.966782157398</v>
      </c>
      <c r="Y175" s="13">
        <f>X175-O175</f>
        <v>33.366782157398</v>
      </c>
      <c r="Z175" s="13">
        <f>Y175*4800/SUM(Y3:Y252)</f>
        <v>11.3035572173916</v>
      </c>
      <c r="AA175" s="15"/>
      <c r="AB175" s="15"/>
    </row>
    <row r="176" ht="20.05" customHeight="1">
      <c r="A176" s="11">
        <v>86</v>
      </c>
      <c r="B176" t="s" s="12">
        <v>145</v>
      </c>
      <c r="C176" s="13">
        <v>134.1</v>
      </c>
      <c r="D176" s="13">
        <v>4033</v>
      </c>
      <c r="E176" s="13">
        <v>2023</v>
      </c>
      <c r="F176" t="s" s="14">
        <v>29</v>
      </c>
      <c r="G176" s="13">
        <v>7</v>
      </c>
      <c r="H176" s="13">
        <v>89.2</v>
      </c>
      <c r="I176" t="s" s="14">
        <v>117</v>
      </c>
      <c r="J176" t="s" s="14">
        <v>323</v>
      </c>
      <c r="K176" t="s" s="14">
        <f>_xlfn.CONCAT(LEFT(I176,1),". ",J176)</f>
        <v>324</v>
      </c>
      <c r="L176" s="13">
        <v>160.7</v>
      </c>
      <c r="M176" s="13">
        <v>26.6</v>
      </c>
      <c r="N176" s="13">
        <v>137.15</v>
      </c>
      <c r="O176" s="13">
        <v>104.6</v>
      </c>
      <c r="P176" s="13">
        <v>29.5</v>
      </c>
      <c r="Q176" s="13">
        <f>P176*4800/SUM(P3:P252)</f>
        <v>9.425472205507241</v>
      </c>
      <c r="R176" s="13">
        <v>143.691666666667</v>
      </c>
      <c r="S176" s="13">
        <v>922.432101449276</v>
      </c>
      <c r="T176" s="13">
        <v>-13.4541666666667</v>
      </c>
      <c r="U176" s="13">
        <v>1365.687807971010</v>
      </c>
      <c r="V176" s="13">
        <v>130.2375</v>
      </c>
      <c r="W176" s="13">
        <v>0.596860244233013</v>
      </c>
      <c r="X176" s="13">
        <v>137.966782157398</v>
      </c>
      <c r="Y176" s="13">
        <f>X176-O176</f>
        <v>33.366782157398</v>
      </c>
      <c r="Z176" s="13">
        <f>Y176*4800/SUM(Y3:Y252)</f>
        <v>11.3035572173916</v>
      </c>
      <c r="AA176" s="15"/>
      <c r="AB176" s="13">
        <f>_xlfn.XLOOKUP(K176,AF256:AF398,AH256:AH398)</f>
        <v>4</v>
      </c>
    </row>
    <row r="177" ht="20.05" customHeight="1">
      <c r="A177" s="11">
        <v>84</v>
      </c>
      <c r="B177" t="s" s="12">
        <v>145</v>
      </c>
      <c r="C177" s="13">
        <v>133.6</v>
      </c>
      <c r="D177" s="13">
        <v>4066</v>
      </c>
      <c r="E177" s="13">
        <v>2023</v>
      </c>
      <c r="F177" t="s" s="14">
        <v>29</v>
      </c>
      <c r="G177" s="13">
        <v>7</v>
      </c>
      <c r="H177" s="13">
        <v>82.59999999999999</v>
      </c>
      <c r="I177" t="s" s="14">
        <v>154</v>
      </c>
      <c r="J177" t="s" s="14">
        <v>325</v>
      </c>
      <c r="K177" t="s" s="14">
        <f>_xlfn.CONCAT(LEFT(I177,1),". ",J177)</f>
        <v>326</v>
      </c>
      <c r="L177" s="13">
        <v>173.3</v>
      </c>
      <c r="M177" s="13">
        <v>39.7</v>
      </c>
      <c r="N177" s="13">
        <v>137.15</v>
      </c>
      <c r="O177" s="13">
        <v>104.6</v>
      </c>
      <c r="P177" s="13">
        <v>29</v>
      </c>
      <c r="Q177" s="13">
        <f>P177*4800/SUM(P3:P252)</f>
        <v>9.265718439312209</v>
      </c>
      <c r="R177" s="13">
        <v>143.691666666667</v>
      </c>
      <c r="S177" s="13">
        <v>922.432101449276</v>
      </c>
      <c r="T177" s="13">
        <v>-13.4541666666667</v>
      </c>
      <c r="U177" s="13">
        <v>1365.687807971010</v>
      </c>
      <c r="V177" s="13">
        <v>130.2375</v>
      </c>
      <c r="W177" s="13">
        <v>0.596860244233013</v>
      </c>
      <c r="X177" s="13">
        <v>137.668352035282</v>
      </c>
      <c r="Y177" s="13">
        <f>X177-O177</f>
        <v>33.068352035282</v>
      </c>
      <c r="Z177" s="13">
        <f>Y177*4800/SUM(Y3:Y252)</f>
        <v>11.2024590070572</v>
      </c>
      <c r="AA177" s="15"/>
      <c r="AB177" s="13">
        <f>_xlfn.XLOOKUP(K177,AF256:AF398,AH256:AH398)</f>
        <v>4</v>
      </c>
    </row>
    <row r="178" ht="20.05" customHeight="1">
      <c r="A178" s="11">
        <v>85</v>
      </c>
      <c r="B178" t="s" s="12">
        <v>145</v>
      </c>
      <c r="C178" s="13">
        <v>132.9</v>
      </c>
      <c r="D178" s="13">
        <v>7600</v>
      </c>
      <c r="E178" s="13">
        <v>2023</v>
      </c>
      <c r="F178" t="s" s="14">
        <v>29</v>
      </c>
      <c r="G178" s="13">
        <v>3</v>
      </c>
      <c r="H178" s="13">
        <v>88.3</v>
      </c>
      <c r="I178" t="s" s="14">
        <v>327</v>
      </c>
      <c r="J178" t="s" s="14">
        <v>328</v>
      </c>
      <c r="K178" t="s" s="14">
        <f>_xlfn.CONCAT(LEFT(I178,1),". ",J178)</f>
        <v>329</v>
      </c>
      <c r="L178" s="13">
        <v>61.8</v>
      </c>
      <c r="M178" s="13">
        <v>-71.09999999999999</v>
      </c>
      <c r="N178" s="13">
        <v>137.15</v>
      </c>
      <c r="O178" s="13">
        <v>104.6</v>
      </c>
      <c r="P178" s="13">
        <v>28.3</v>
      </c>
      <c r="Q178" s="13">
        <f>P178*4800/SUM(P3:P252)</f>
        <v>9.042063166639149</v>
      </c>
      <c r="R178" s="13">
        <v>143.691666666667</v>
      </c>
      <c r="S178" s="13">
        <v>922.432101449276</v>
      </c>
      <c r="T178" s="13">
        <v>-13.4541666666667</v>
      </c>
      <c r="U178" s="13">
        <v>1365.687807971010</v>
      </c>
      <c r="V178" s="13">
        <v>130.2375</v>
      </c>
      <c r="W178" s="13">
        <v>0.596860244233013</v>
      </c>
      <c r="X178" s="13">
        <v>137.250549864319</v>
      </c>
      <c r="Y178" s="13">
        <f>X178-O178</f>
        <v>32.650549864319</v>
      </c>
      <c r="Z178" s="13">
        <f>Y178*4800/SUM(Y3:Y252)</f>
        <v>11.0609215125888</v>
      </c>
      <c r="AA178" s="15"/>
      <c r="AB178" s="13">
        <f>_xlfn.XLOOKUP(K178,AF256:AF398,AH256:AH398)</f>
        <v>5</v>
      </c>
    </row>
    <row r="179" ht="8.35" customHeight="1" hidden="1">
      <c r="A179" s="11">
        <v>87</v>
      </c>
      <c r="B179" t="s" s="12">
        <v>145</v>
      </c>
      <c r="C179" s="13">
        <v>130.9</v>
      </c>
      <c r="D179" s="13">
        <v>7600</v>
      </c>
      <c r="E179" s="13">
        <v>2022</v>
      </c>
      <c r="F179" t="s" s="14">
        <v>29</v>
      </c>
      <c r="G179" s="13">
        <v>3</v>
      </c>
      <c r="H179" s="13">
        <v>108.7</v>
      </c>
      <c r="I179" t="s" s="14">
        <v>327</v>
      </c>
      <c r="J179" t="s" s="14">
        <v>328</v>
      </c>
      <c r="K179" s="15"/>
      <c r="L179" s="13">
        <v>116.7</v>
      </c>
      <c r="M179" s="13">
        <v>-14.2</v>
      </c>
      <c r="N179" s="13">
        <v>137.15</v>
      </c>
      <c r="O179" s="13">
        <v>104.6</v>
      </c>
      <c r="P179" s="13">
        <v>26.3</v>
      </c>
      <c r="Q179" s="15"/>
      <c r="R179" s="13">
        <v>143.691666666667</v>
      </c>
      <c r="S179" s="13">
        <v>922.432101449276</v>
      </c>
      <c r="T179" s="13">
        <v>-13.4541666666667</v>
      </c>
      <c r="U179" s="13">
        <v>1365.687807971010</v>
      </c>
      <c r="V179" s="13">
        <v>130.2375</v>
      </c>
      <c r="W179" s="13">
        <v>0.596860244233013</v>
      </c>
      <c r="X179" s="13">
        <v>136.056829375853</v>
      </c>
      <c r="Y179" s="13">
        <f>X179-O179</f>
        <v>31.456829375853</v>
      </c>
      <c r="Z179" s="13">
        <f>Y179*4800/SUM(Y3:Y252)</f>
        <v>10.6565286712504</v>
      </c>
      <c r="AA179" s="15"/>
      <c r="AB179" s="15"/>
    </row>
    <row r="180" ht="8.35" customHeight="1" hidden="1">
      <c r="A180" s="11">
        <v>82</v>
      </c>
      <c r="B180" t="s" s="12">
        <v>145</v>
      </c>
      <c r="C180" s="13">
        <v>129.6</v>
      </c>
      <c r="D180" s="13">
        <v>5001</v>
      </c>
      <c r="E180" s="13">
        <v>2022</v>
      </c>
      <c r="F180" t="s" s="14">
        <v>29</v>
      </c>
      <c r="G180" s="13">
        <v>6</v>
      </c>
      <c r="H180" s="13">
        <v>61.7</v>
      </c>
      <c r="I180" t="s" s="14">
        <v>330</v>
      </c>
      <c r="J180" t="s" s="14">
        <v>331</v>
      </c>
      <c r="K180" s="15"/>
      <c r="L180" s="13">
        <v>113.2</v>
      </c>
      <c r="M180" s="13">
        <v>-16.4</v>
      </c>
      <c r="N180" s="13">
        <v>137.15</v>
      </c>
      <c r="O180" s="13">
        <v>104.6</v>
      </c>
      <c r="P180" s="13">
        <v>25</v>
      </c>
      <c r="Q180" s="15"/>
      <c r="R180" s="13">
        <v>143.691666666667</v>
      </c>
      <c r="S180" s="13">
        <v>922.432101449276</v>
      </c>
      <c r="T180" s="13">
        <v>-13.4541666666667</v>
      </c>
      <c r="U180" s="13">
        <v>1365.687807971010</v>
      </c>
      <c r="V180" s="13">
        <v>130.2375</v>
      </c>
      <c r="W180" s="13">
        <v>0.596860244233013</v>
      </c>
      <c r="X180" s="13">
        <v>135.280911058350</v>
      </c>
      <c r="Y180" s="13">
        <f>X180-O180</f>
        <v>30.680911058350</v>
      </c>
      <c r="Z180" s="13">
        <f>Y180*4800/SUM(Y3:Y252)</f>
        <v>10.3936733243805</v>
      </c>
      <c r="AA180" s="15"/>
      <c r="AB180" s="15"/>
    </row>
    <row r="181" ht="8.35" customHeight="1" hidden="1">
      <c r="A181" s="11">
        <v>110</v>
      </c>
      <c r="B181" t="s" s="12">
        <v>46</v>
      </c>
      <c r="C181" s="13">
        <v>124.8</v>
      </c>
      <c r="D181" s="13">
        <v>1992</v>
      </c>
      <c r="E181" s="13">
        <v>2022</v>
      </c>
      <c r="F181" t="s" s="14">
        <v>29</v>
      </c>
      <c r="G181" s="13">
        <v>10</v>
      </c>
      <c r="H181" s="13">
        <v>52</v>
      </c>
      <c r="I181" t="s" s="14">
        <v>76</v>
      </c>
      <c r="J181" t="s" s="14">
        <v>57</v>
      </c>
      <c r="K181" s="15"/>
      <c r="L181" s="13">
        <v>68.40000000000001</v>
      </c>
      <c r="M181" s="13">
        <v>-56.4</v>
      </c>
      <c r="N181" s="13">
        <v>183</v>
      </c>
      <c r="O181" s="13">
        <v>121.5</v>
      </c>
      <c r="P181" s="13">
        <v>3.3</v>
      </c>
      <c r="Q181" s="15"/>
      <c r="R181" s="13">
        <v>191.8725</v>
      </c>
      <c r="S181" s="13">
        <v>1211.201165492960</v>
      </c>
      <c r="T181" s="13">
        <v>-15.8213888888889</v>
      </c>
      <c r="U181" s="13">
        <v>2443.102854381850</v>
      </c>
      <c r="V181" s="13">
        <v>176.051111111111</v>
      </c>
      <c r="W181" s="13">
        <v>0.668554898851997</v>
      </c>
      <c r="X181" s="13">
        <v>147.030851546749</v>
      </c>
      <c r="Y181" s="13">
        <f>X181-O181</f>
        <v>25.530851546749</v>
      </c>
      <c r="Z181" s="13">
        <f>Y181*4800/SUM(Y3:Y252)</f>
        <v>8.64900426736005</v>
      </c>
      <c r="AA181" s="15"/>
      <c r="AB181" s="15"/>
    </row>
    <row r="182" ht="8.35" customHeight="1" hidden="1">
      <c r="A182" s="11">
        <v>34</v>
      </c>
      <c r="B182" t="s" s="12">
        <v>152</v>
      </c>
      <c r="C182" s="13">
        <v>22</v>
      </c>
      <c r="D182" s="13">
        <v>7062</v>
      </c>
      <c r="E182" s="13">
        <v>2022</v>
      </c>
      <c r="F182" t="s" s="14">
        <v>29</v>
      </c>
      <c r="G182" s="13">
        <v>3</v>
      </c>
      <c r="H182" s="13">
        <v>181.4</v>
      </c>
      <c r="I182" t="s" s="14">
        <v>332</v>
      </c>
      <c r="J182" t="s" s="14">
        <v>333</v>
      </c>
      <c r="K182" s="15"/>
      <c r="L182" s="13">
        <v>17</v>
      </c>
      <c r="M182" s="13">
        <v>-5</v>
      </c>
      <c r="N182" s="13">
        <v>100.5</v>
      </c>
      <c r="O182" s="13">
        <v>22</v>
      </c>
      <c r="P182" s="13">
        <v>0</v>
      </c>
      <c r="Q182" s="15"/>
      <c r="R182" s="13">
        <v>97.2916666666667</v>
      </c>
      <c r="S182" s="13">
        <v>326.128623188406</v>
      </c>
      <c r="T182" s="13">
        <v>29.375</v>
      </c>
      <c r="U182" s="13">
        <v>713.201086956522</v>
      </c>
      <c r="V182" s="13">
        <v>126.666666666667</v>
      </c>
      <c r="W182" s="13">
        <v>0.686212546408464</v>
      </c>
      <c r="X182" s="13">
        <v>45.6255803599961</v>
      </c>
      <c r="Y182" s="13">
        <f>X182-O182</f>
        <v>23.6255803599961</v>
      </c>
      <c r="Z182" s="13">
        <f>Y182*4800/SUM(Y3:Y252)</f>
        <v>8.0035616899932</v>
      </c>
      <c r="AA182" s="15"/>
      <c r="AB182" s="15"/>
    </row>
    <row r="183" ht="8.35" customHeight="1" hidden="1">
      <c r="A183" s="11">
        <v>123</v>
      </c>
      <c r="B183" t="s" s="12">
        <v>46</v>
      </c>
      <c r="C183" s="13">
        <v>121.5</v>
      </c>
      <c r="D183" s="13">
        <v>5955</v>
      </c>
      <c r="E183" s="13">
        <v>2022</v>
      </c>
      <c r="F183" t="s" s="14">
        <v>29</v>
      </c>
      <c r="G183" s="13">
        <v>5</v>
      </c>
      <c r="H183" s="13">
        <v>86.40000000000001</v>
      </c>
      <c r="I183" t="s" s="14">
        <v>334</v>
      </c>
      <c r="J183" t="s" s="14">
        <v>335</v>
      </c>
      <c r="K183" s="15"/>
      <c r="L183" s="13">
        <v>58</v>
      </c>
      <c r="M183" s="13">
        <v>-63.5</v>
      </c>
      <c r="N183" s="13">
        <v>183</v>
      </c>
      <c r="O183" s="13">
        <v>121.5</v>
      </c>
      <c r="P183" s="13">
        <v>0</v>
      </c>
      <c r="Q183" s="15"/>
      <c r="R183" s="13">
        <v>191.8725</v>
      </c>
      <c r="S183" s="13">
        <v>1211.201165492960</v>
      </c>
      <c r="T183" s="13">
        <v>-15.8213888888889</v>
      </c>
      <c r="U183" s="13">
        <v>2443.102854381850</v>
      </c>
      <c r="V183" s="13">
        <v>176.051111111111</v>
      </c>
      <c r="W183" s="13">
        <v>0.668554898851997</v>
      </c>
      <c r="X183" s="13">
        <v>144.824620380538</v>
      </c>
      <c r="Y183" s="13">
        <f>X183-O183</f>
        <v>23.324620380538</v>
      </c>
      <c r="Z183" s="13">
        <f>Y183*4800/SUM(Y3:Y252)</f>
        <v>7.90160644804323</v>
      </c>
      <c r="AA183" s="15"/>
      <c r="AB183" s="15"/>
    </row>
    <row r="184" ht="8.35" customHeight="1" hidden="1">
      <c r="A184" s="11">
        <v>85</v>
      </c>
      <c r="B184" t="s" s="12">
        <v>145</v>
      </c>
      <c r="C184" s="13">
        <v>116</v>
      </c>
      <c r="D184" s="13">
        <v>5906</v>
      </c>
      <c r="E184" s="13">
        <v>2022</v>
      </c>
      <c r="F184" t="s" s="14">
        <v>29</v>
      </c>
      <c r="G184" s="13">
        <v>5</v>
      </c>
      <c r="H184" s="13">
        <v>90.2</v>
      </c>
      <c r="I184" t="s" s="14">
        <v>336</v>
      </c>
      <c r="J184" t="s" s="14">
        <v>337</v>
      </c>
      <c r="K184" s="15"/>
      <c r="L184" s="13">
        <v>111.7</v>
      </c>
      <c r="M184" s="13">
        <v>-4.3</v>
      </c>
      <c r="N184" s="13">
        <v>137.15</v>
      </c>
      <c r="O184" s="13">
        <v>104.6</v>
      </c>
      <c r="P184" s="13">
        <v>11.4</v>
      </c>
      <c r="Q184" s="15"/>
      <c r="R184" s="13">
        <v>143.691666666667</v>
      </c>
      <c r="S184" s="13">
        <v>922.432101449276</v>
      </c>
      <c r="T184" s="13">
        <v>-13.4541666666667</v>
      </c>
      <c r="U184" s="13">
        <v>1365.687807971010</v>
      </c>
      <c r="V184" s="13">
        <v>130.2375</v>
      </c>
      <c r="W184" s="13">
        <v>0.596860244233013</v>
      </c>
      <c r="X184" s="13">
        <v>127.163611736781</v>
      </c>
      <c r="Y184" s="13">
        <f>X184-O184</f>
        <v>22.563611736781</v>
      </c>
      <c r="Z184" s="13">
        <f>Y184*4800/SUM(Y3:Y252)</f>
        <v>7.6438020032796</v>
      </c>
      <c r="AA184" s="15"/>
      <c r="AB184" s="15"/>
    </row>
    <row r="185" ht="20.05" customHeight="1">
      <c r="A185" s="11">
        <v>24</v>
      </c>
      <c r="B185" t="s" s="12">
        <v>338</v>
      </c>
      <c r="C185" s="13">
        <v>41.1</v>
      </c>
      <c r="D185" s="13">
        <v>1379</v>
      </c>
      <c r="E185" s="13">
        <v>2023</v>
      </c>
      <c r="F185" t="s" s="14">
        <v>29</v>
      </c>
      <c r="G185" s="13">
        <v>11</v>
      </c>
      <c r="H185" s="13">
        <v>999</v>
      </c>
      <c r="I185" t="s" s="14">
        <v>317</v>
      </c>
      <c r="J185" t="s" s="14">
        <v>339</v>
      </c>
      <c r="K185" t="s" s="14">
        <f>_xlfn.CONCAT(LEFT(I185,1),". ",J185)</f>
        <v>340</v>
      </c>
      <c r="L185" s="13">
        <v>31.5</v>
      </c>
      <c r="M185" s="13">
        <v>-9.6</v>
      </c>
      <c r="N185" s="13">
        <v>8.300000000000001</v>
      </c>
      <c r="O185" s="13">
        <v>3</v>
      </c>
      <c r="P185" s="13">
        <v>38.1</v>
      </c>
      <c r="Q185" s="13">
        <f>P185*4800/SUM(P3:P252)</f>
        <v>12.1732369840619</v>
      </c>
      <c r="R185" s="13">
        <v>14.52</v>
      </c>
      <c r="S185" s="13">
        <v>237.647</v>
      </c>
      <c r="T185" s="13">
        <v>2.74</v>
      </c>
      <c r="U185" s="13">
        <v>145.693</v>
      </c>
      <c r="V185" s="13">
        <v>13.2375</v>
      </c>
      <c r="W185" s="13">
        <v>0.380062085876767</v>
      </c>
      <c r="X185" s="13">
        <v>24.6220502426045</v>
      </c>
      <c r="Y185" s="13">
        <f>X185-O185</f>
        <v>21.6220502426045</v>
      </c>
      <c r="Z185" s="13">
        <f>Y185*4800/SUM(Y3:Y252)</f>
        <v>7.32483225147939</v>
      </c>
      <c r="AA185" s="15"/>
      <c r="AB185" s="15">
        <f>_xlfn.XLOOKUP(K185,AF256:AF398,AH256:AH398)</f>
      </c>
    </row>
    <row r="186" ht="20.05" customHeight="1">
      <c r="A186" s="11">
        <v>1</v>
      </c>
      <c r="B186" t="s" s="12">
        <v>341</v>
      </c>
      <c r="C186" s="13">
        <v>105</v>
      </c>
      <c r="D186" t="s" s="14">
        <v>342</v>
      </c>
      <c r="E186" s="13">
        <v>2023</v>
      </c>
      <c r="F186" t="s" s="14">
        <v>29</v>
      </c>
      <c r="G186" s="15"/>
      <c r="H186" s="13">
        <v>95.59999999999999</v>
      </c>
      <c r="I186" t="s" s="14">
        <v>343</v>
      </c>
      <c r="J186" t="s" s="14">
        <v>344</v>
      </c>
      <c r="K186" t="s" s="14">
        <f>_xlfn.CONCAT(LEFT(I186,1),". ",J186)</f>
        <v>345</v>
      </c>
      <c r="L186" s="13">
        <v>145</v>
      </c>
      <c r="M186" s="13">
        <v>40</v>
      </c>
      <c r="N186" s="13">
        <v>92</v>
      </c>
      <c r="O186" s="13">
        <v>85</v>
      </c>
      <c r="P186" s="13">
        <v>20</v>
      </c>
      <c r="Q186" s="13">
        <f>P186*4800/SUM(P3:P252)</f>
        <v>6.39015064780152</v>
      </c>
      <c r="R186" s="13">
        <v>92.75</v>
      </c>
      <c r="S186" s="13">
        <v>25.9347826086957</v>
      </c>
      <c r="T186" s="13">
        <v>47.3333333333333</v>
      </c>
      <c r="U186" s="13">
        <v>997.362318840580</v>
      </c>
      <c r="V186" s="13">
        <v>140.083333333333</v>
      </c>
      <c r="W186" s="13">
        <v>0.974655666890911</v>
      </c>
      <c r="X186" s="13">
        <v>104.689531919414</v>
      </c>
      <c r="Y186" s="13">
        <f>X186-O186</f>
        <v>19.689531919414</v>
      </c>
      <c r="Z186" s="13">
        <f>Y186*4800/SUM(Y3:Y252)</f>
        <v>6.67015924954599</v>
      </c>
      <c r="AA186" s="15"/>
      <c r="AB186" s="13">
        <f>_xlfn.XLOOKUP(K186,AF256:AF398,AH256:AH398)</f>
        <v>4</v>
      </c>
    </row>
    <row r="187" ht="8.35" customHeight="1" hidden="1">
      <c r="A187" s="11">
        <v>88</v>
      </c>
      <c r="B187" t="s" s="12">
        <v>145</v>
      </c>
      <c r="C187" s="13">
        <v>109.9</v>
      </c>
      <c r="D187" s="13">
        <v>6826</v>
      </c>
      <c r="E187" s="13">
        <v>2022</v>
      </c>
      <c r="F187" t="s" s="14">
        <v>29</v>
      </c>
      <c r="G187" s="13">
        <v>4</v>
      </c>
      <c r="H187" s="13">
        <v>116.9</v>
      </c>
      <c r="I187" t="s" s="14">
        <v>346</v>
      </c>
      <c r="J187" t="s" s="14">
        <v>347</v>
      </c>
      <c r="K187" s="15"/>
      <c r="L187" s="13">
        <v>123.3</v>
      </c>
      <c r="M187" s="13">
        <v>13.4</v>
      </c>
      <c r="N187" s="13">
        <v>137.15</v>
      </c>
      <c r="O187" s="13">
        <v>104.6</v>
      </c>
      <c r="P187" s="13">
        <v>5.30000000000001</v>
      </c>
      <c r="Q187" s="15"/>
      <c r="R187" s="13">
        <v>143.691666666667</v>
      </c>
      <c r="S187" s="13">
        <v>922.432101449276</v>
      </c>
      <c r="T187" s="13">
        <v>-13.4541666666667</v>
      </c>
      <c r="U187" s="13">
        <v>1365.687807971010</v>
      </c>
      <c r="V187" s="13">
        <v>130.2375</v>
      </c>
      <c r="W187" s="13">
        <v>0.596860244233013</v>
      </c>
      <c r="X187" s="13">
        <v>123.522764246959</v>
      </c>
      <c r="Y187" s="13">
        <f>X187-O187</f>
        <v>18.922764246959</v>
      </c>
      <c r="Z187" s="13">
        <f>Y187*4800/SUM(Y3:Y252)</f>
        <v>6.41040383719738</v>
      </c>
      <c r="AA187" s="15"/>
      <c r="AB187" s="15"/>
    </row>
    <row r="188" ht="8.35" customHeight="1" hidden="1">
      <c r="A188" s="11">
        <v>48</v>
      </c>
      <c r="B188" t="s" s="12">
        <v>75</v>
      </c>
      <c r="C188" s="13">
        <v>254.84</v>
      </c>
      <c r="D188" s="13">
        <v>1234</v>
      </c>
      <c r="E188" s="13">
        <v>2022</v>
      </c>
      <c r="F188" t="s" s="14">
        <v>29</v>
      </c>
      <c r="G188" s="13">
        <v>12</v>
      </c>
      <c r="H188" s="13">
        <v>73.2</v>
      </c>
      <c r="I188" t="s" s="14">
        <v>348</v>
      </c>
      <c r="J188" t="s" s="14">
        <v>187</v>
      </c>
      <c r="K188" s="15"/>
      <c r="L188" s="13">
        <v>236.26</v>
      </c>
      <c r="M188" s="13">
        <v>-18.58</v>
      </c>
      <c r="N188" s="13">
        <v>332.28</v>
      </c>
      <c r="O188" s="13">
        <v>253.94</v>
      </c>
      <c r="P188" s="13">
        <v>0.900000000000006</v>
      </c>
      <c r="Q188" s="15"/>
      <c r="R188" s="13">
        <v>331.717272727273</v>
      </c>
      <c r="S188" s="13">
        <v>1529.024316017320</v>
      </c>
      <c r="T188" s="13">
        <v>-42.8909090909091</v>
      </c>
      <c r="U188" s="16">
        <v>5503.577170562770</v>
      </c>
      <c r="V188" s="13">
        <v>276.810434782609</v>
      </c>
      <c r="W188" s="13">
        <v>0.782580554445596</v>
      </c>
      <c r="X188" s="13">
        <v>271.554614012098</v>
      </c>
      <c r="Y188" s="13">
        <f>X188-O188</f>
        <v>17.614614012098</v>
      </c>
      <c r="Z188" s="13">
        <f>Y188*4800/SUM(Y3:Y252)</f>
        <v>5.9672459995928</v>
      </c>
      <c r="AA188" s="15"/>
      <c r="AB188" s="15"/>
    </row>
    <row r="189" ht="8.35" customHeight="1" hidden="1">
      <c r="A189" s="11">
        <v>51</v>
      </c>
      <c r="B189" t="s" s="12">
        <v>75</v>
      </c>
      <c r="C189" s="13">
        <v>253.94</v>
      </c>
      <c r="D189" s="13">
        <v>96</v>
      </c>
      <c r="E189" s="13">
        <v>2022</v>
      </c>
      <c r="F189" t="s" s="14">
        <v>29</v>
      </c>
      <c r="G189" s="13">
        <v>19</v>
      </c>
      <c r="H189" s="13">
        <v>97.8</v>
      </c>
      <c r="I189" t="s" s="14">
        <v>63</v>
      </c>
      <c r="J189" t="s" s="14">
        <v>349</v>
      </c>
      <c r="K189" s="15"/>
      <c r="L189" s="13">
        <v>249.2</v>
      </c>
      <c r="M189" s="13">
        <v>-4.74000000000001</v>
      </c>
      <c r="N189" s="13">
        <v>332.28</v>
      </c>
      <c r="O189" s="13">
        <v>253.94</v>
      </c>
      <c r="P189" s="13">
        <v>0</v>
      </c>
      <c r="Q189" s="15"/>
      <c r="R189" s="13">
        <v>331.717272727273</v>
      </c>
      <c r="S189" s="13">
        <v>1529.024316017320</v>
      </c>
      <c r="T189" s="13">
        <v>-42.8909090909091</v>
      </c>
      <c r="U189" s="16">
        <v>5503.577170562770</v>
      </c>
      <c r="V189" s="13">
        <v>276.810434782609</v>
      </c>
      <c r="W189" s="13">
        <v>0.782580554445596</v>
      </c>
      <c r="X189" s="13">
        <v>270.850291513097</v>
      </c>
      <c r="Y189" s="13">
        <f>X189-O189</f>
        <v>16.910291513097</v>
      </c>
      <c r="Z189" s="13">
        <f>Y189*4800/SUM(Y3:Y252)</f>
        <v>5.72864493733278</v>
      </c>
      <c r="AA189" s="15"/>
      <c r="AB189" s="15"/>
    </row>
    <row r="190" ht="20.05" customHeight="1">
      <c r="A190" s="11">
        <v>88</v>
      </c>
      <c r="B190" t="s" s="12">
        <v>145</v>
      </c>
      <c r="C190" s="13">
        <v>106.3</v>
      </c>
      <c r="D190" s="13">
        <v>5001</v>
      </c>
      <c r="E190" s="13">
        <v>2023</v>
      </c>
      <c r="F190" t="s" s="14">
        <v>29</v>
      </c>
      <c r="G190" s="13">
        <v>6</v>
      </c>
      <c r="H190" s="13">
        <v>118.1</v>
      </c>
      <c r="I190" t="s" s="14">
        <v>330</v>
      </c>
      <c r="J190" t="s" s="14">
        <v>331</v>
      </c>
      <c r="K190" t="s" s="14">
        <f>_xlfn.CONCAT(LEFT(I190,1),". ",J190)</f>
        <v>350</v>
      </c>
      <c r="L190" s="13">
        <v>121</v>
      </c>
      <c r="M190" s="13">
        <v>14.7</v>
      </c>
      <c r="N190" s="13">
        <v>137.15</v>
      </c>
      <c r="O190" s="13">
        <v>104.6</v>
      </c>
      <c r="P190" s="13">
        <v>1.7</v>
      </c>
      <c r="Q190" s="13">
        <f>P190*4800/SUM(P3:P252)</f>
        <v>0.543162805063129</v>
      </c>
      <c r="R190" s="13">
        <v>143.691666666667</v>
      </c>
      <c r="S190" s="13">
        <v>922.432101449276</v>
      </c>
      <c r="T190" s="13">
        <v>-13.4541666666667</v>
      </c>
      <c r="U190" s="13">
        <v>1365.687807971010</v>
      </c>
      <c r="V190" s="13">
        <v>130.2375</v>
      </c>
      <c r="W190" s="13">
        <v>0.596860244233013</v>
      </c>
      <c r="X190" s="13">
        <v>121.374067367721</v>
      </c>
      <c r="Y190" s="13">
        <f>X190-O190</f>
        <v>16.774067367721</v>
      </c>
      <c r="Z190" s="13">
        <f>Y190*4800/SUM(Y3:Y252)</f>
        <v>5.68249672278861</v>
      </c>
      <c r="AA190" s="15"/>
      <c r="AB190" s="15">
        <f>_xlfn.XLOOKUP(K190,AF256:AF398,AH256:AH398)</f>
      </c>
    </row>
    <row r="191" ht="20.05" customHeight="1">
      <c r="A191" s="11">
        <v>3</v>
      </c>
      <c r="B191" t="s" s="12">
        <v>341</v>
      </c>
      <c r="C191" s="13">
        <v>102</v>
      </c>
      <c r="D191" t="s" s="14">
        <v>351</v>
      </c>
      <c r="E191" s="13">
        <v>2023</v>
      </c>
      <c r="F191" t="s" s="14">
        <v>29</v>
      </c>
      <c r="G191" s="15"/>
      <c r="H191" s="13">
        <v>113.7</v>
      </c>
      <c r="I191" t="s" s="14">
        <v>309</v>
      </c>
      <c r="J191" t="s" s="14">
        <v>352</v>
      </c>
      <c r="K191" t="s" s="14">
        <f>_xlfn.CONCAT(LEFT(I191,1),". ",J191)</f>
        <v>353</v>
      </c>
      <c r="L191" s="13">
        <v>188</v>
      </c>
      <c r="M191" s="13">
        <v>86</v>
      </c>
      <c r="N191" s="13">
        <v>92</v>
      </c>
      <c r="O191" s="13">
        <v>85</v>
      </c>
      <c r="P191" s="13">
        <v>17</v>
      </c>
      <c r="Q191" s="13">
        <f>P191*4800/SUM(P3:P252)</f>
        <v>5.43162805063129</v>
      </c>
      <c r="R191" s="13">
        <v>92.75</v>
      </c>
      <c r="S191" s="13">
        <v>25.9347826086957</v>
      </c>
      <c r="T191" s="13">
        <v>47.3333333333333</v>
      </c>
      <c r="U191" s="13">
        <v>997.362318840580</v>
      </c>
      <c r="V191" s="13">
        <v>140.083333333333</v>
      </c>
      <c r="W191" s="13">
        <v>0.974655666890911</v>
      </c>
      <c r="X191" s="13">
        <v>101.765564918741</v>
      </c>
      <c r="Y191" s="13">
        <f>X191-O191</f>
        <v>16.765564918741</v>
      </c>
      <c r="Z191" s="13">
        <f>Y191*4800/SUM(Y3:Y252)</f>
        <v>5.67961637555944</v>
      </c>
      <c r="AA191" s="15"/>
      <c r="AB191" s="13">
        <f>_xlfn.XLOOKUP(K191,AF256:AF398,AH256:AH398)</f>
        <v>2</v>
      </c>
    </row>
    <row r="192" ht="20.05" customHeight="1">
      <c r="A192" s="11">
        <v>87</v>
      </c>
      <c r="B192" t="s" s="12">
        <v>145</v>
      </c>
      <c r="C192" s="13">
        <v>104.6</v>
      </c>
      <c r="D192" s="13">
        <v>10236</v>
      </c>
      <c r="E192" s="13">
        <v>2023</v>
      </c>
      <c r="F192" t="s" s="14">
        <v>29</v>
      </c>
      <c r="G192" s="13">
        <v>1</v>
      </c>
      <c r="H192" s="13">
        <v>114.7</v>
      </c>
      <c r="I192" t="s" s="14">
        <v>330</v>
      </c>
      <c r="J192" t="s" s="14">
        <v>354</v>
      </c>
      <c r="K192" t="s" s="14">
        <f>_xlfn.CONCAT(LEFT(I192,1),". ",J192)</f>
        <v>355</v>
      </c>
      <c r="L192" s="13">
        <v>113.8</v>
      </c>
      <c r="M192" s="13">
        <v>9.199999999999999</v>
      </c>
      <c r="N192" s="13">
        <v>137.15</v>
      </c>
      <c r="O192" s="13">
        <v>104.6</v>
      </c>
      <c r="P192" s="13">
        <v>0</v>
      </c>
      <c r="Q192" s="13">
        <f>P192*4800/SUM(P3:P252)</f>
        <v>0</v>
      </c>
      <c r="R192" s="13">
        <v>143.691666666667</v>
      </c>
      <c r="S192" s="13">
        <v>922.432101449276</v>
      </c>
      <c r="T192" s="13">
        <v>-13.4541666666667</v>
      </c>
      <c r="U192" s="13">
        <v>1365.687807971010</v>
      </c>
      <c r="V192" s="13">
        <v>130.2375</v>
      </c>
      <c r="W192" s="13">
        <v>0.596860244233013</v>
      </c>
      <c r="X192" s="13">
        <v>120.359404952524</v>
      </c>
      <c r="Y192" s="13">
        <f>X192-O192</f>
        <v>15.759404952524</v>
      </c>
      <c r="Z192" s="13">
        <f>Y192*4800/SUM(Y3:Y252)</f>
        <v>5.33876280765071</v>
      </c>
      <c r="AA192" s="15"/>
      <c r="AB192" s="15">
        <f>_xlfn.XLOOKUP(K192,AF256:AF398,AH256:AH398)</f>
      </c>
    </row>
    <row r="193" ht="8.35" customHeight="1" hidden="1">
      <c r="A193" s="11">
        <v>1</v>
      </c>
      <c r="B193" t="s" s="12">
        <v>341</v>
      </c>
      <c r="C193" s="13">
        <v>100</v>
      </c>
      <c r="D193" t="s" s="14">
        <v>356</v>
      </c>
      <c r="E193" s="13">
        <v>2022</v>
      </c>
      <c r="F193" t="s" s="14">
        <v>29</v>
      </c>
      <c r="G193" s="15"/>
      <c r="H193" s="13">
        <v>102</v>
      </c>
      <c r="I193" t="s" s="14">
        <v>357</v>
      </c>
      <c r="J193" t="s" s="14">
        <v>358</v>
      </c>
      <c r="K193" s="15"/>
      <c r="L193" s="13">
        <v>156</v>
      </c>
      <c r="M193" s="13">
        <v>56</v>
      </c>
      <c r="N193" s="13">
        <v>92</v>
      </c>
      <c r="O193" s="13">
        <v>85</v>
      </c>
      <c r="P193" s="13">
        <v>15</v>
      </c>
      <c r="Q193" s="15"/>
      <c r="R193" s="13">
        <v>92.75</v>
      </c>
      <c r="S193" s="13">
        <v>25.9347826086957</v>
      </c>
      <c r="T193" s="13">
        <v>47.3333333333333</v>
      </c>
      <c r="U193" s="13">
        <v>997.362318840580</v>
      </c>
      <c r="V193" s="13">
        <v>140.083333333333</v>
      </c>
      <c r="W193" s="13">
        <v>0.974655666890911</v>
      </c>
      <c r="X193" s="13">
        <v>99.8162535849591</v>
      </c>
      <c r="Y193" s="13">
        <f>X193-O193</f>
        <v>14.8162535849591</v>
      </c>
      <c r="Z193" s="13">
        <f>Y193*4800/SUM(Y3:Y252)</f>
        <v>5.01925445956844</v>
      </c>
      <c r="AA193" s="15"/>
      <c r="AB193" s="15"/>
    </row>
    <row r="194" ht="20.05" customHeight="1">
      <c r="A194" s="11">
        <v>4</v>
      </c>
      <c r="B194" t="s" s="12">
        <v>341</v>
      </c>
      <c r="C194" s="13">
        <v>99</v>
      </c>
      <c r="D194" t="s" s="14">
        <v>356</v>
      </c>
      <c r="E194" s="13">
        <v>2023</v>
      </c>
      <c r="F194" t="s" s="14">
        <v>29</v>
      </c>
      <c r="G194" s="15"/>
      <c r="H194" s="13">
        <v>119.5</v>
      </c>
      <c r="I194" t="s" s="14">
        <v>357</v>
      </c>
      <c r="J194" t="s" s="14">
        <v>358</v>
      </c>
      <c r="K194" t="s" s="14">
        <f>_xlfn.CONCAT(LEFT(I194,1),". ",J194)</f>
        <v>359</v>
      </c>
      <c r="L194" s="13">
        <v>167</v>
      </c>
      <c r="M194" s="13">
        <v>68</v>
      </c>
      <c r="N194" s="13">
        <v>92</v>
      </c>
      <c r="O194" s="13">
        <v>85</v>
      </c>
      <c r="P194" s="13">
        <v>14</v>
      </c>
      <c r="Q194" s="13">
        <f>P194*4800/SUM(P3:P252)</f>
        <v>4.47310545346107</v>
      </c>
      <c r="R194" s="13">
        <v>92.75</v>
      </c>
      <c r="S194" s="13">
        <v>25.9347826086957</v>
      </c>
      <c r="T194" s="13">
        <v>47.3333333333333</v>
      </c>
      <c r="U194" s="13">
        <v>997.362318840580</v>
      </c>
      <c r="V194" s="13">
        <v>140.083333333333</v>
      </c>
      <c r="W194" s="13">
        <v>0.974655666890911</v>
      </c>
      <c r="X194" s="13">
        <v>98.8415979180682</v>
      </c>
      <c r="Y194" s="13">
        <f>X194-O194</f>
        <v>13.8415979180682</v>
      </c>
      <c r="Z194" s="13">
        <f>Y194*4800/SUM(Y3:Y252)</f>
        <v>4.68907350157296</v>
      </c>
      <c r="AA194" s="15"/>
      <c r="AB194" s="13">
        <f>_xlfn.XLOOKUP(K194,AF256:AF398,AH256:AH398)</f>
        <v>3</v>
      </c>
    </row>
    <row r="195" ht="8.35" customHeight="1" hidden="1">
      <c r="A195" s="11">
        <v>2</v>
      </c>
      <c r="B195" t="s" s="12">
        <v>341</v>
      </c>
      <c r="C195" s="13">
        <v>97</v>
      </c>
      <c r="D195" t="s" s="14">
        <v>360</v>
      </c>
      <c r="E195" s="13">
        <v>2022</v>
      </c>
      <c r="F195" t="s" s="14">
        <v>29</v>
      </c>
      <c r="G195" s="15"/>
      <c r="H195" s="13">
        <v>118.4</v>
      </c>
      <c r="I195" t="s" s="14">
        <v>361</v>
      </c>
      <c r="J195" t="s" s="14">
        <v>362</v>
      </c>
      <c r="K195" s="15"/>
      <c r="L195" s="13">
        <v>111</v>
      </c>
      <c r="M195" s="13">
        <v>14</v>
      </c>
      <c r="N195" s="13">
        <v>92</v>
      </c>
      <c r="O195" s="13">
        <v>85</v>
      </c>
      <c r="P195" s="13">
        <v>12</v>
      </c>
      <c r="Q195" s="15"/>
      <c r="R195" s="13">
        <v>92.75</v>
      </c>
      <c r="S195" s="13">
        <v>25.9347826086957</v>
      </c>
      <c r="T195" s="13">
        <v>47.3333333333333</v>
      </c>
      <c r="U195" s="13">
        <v>997.362318840580</v>
      </c>
      <c r="V195" s="13">
        <v>140.083333333333</v>
      </c>
      <c r="W195" s="13">
        <v>0.974655666890911</v>
      </c>
      <c r="X195" s="13">
        <v>96.8922865842864</v>
      </c>
      <c r="Y195" s="13">
        <f>X195-O195</f>
        <v>11.8922865842864</v>
      </c>
      <c r="Z195" s="13">
        <f>Y195*4800/SUM(Y3:Y252)</f>
        <v>4.02871158558199</v>
      </c>
      <c r="AA195" s="15"/>
      <c r="AB195" s="15"/>
    </row>
    <row r="196" ht="8.35" customHeight="1" hidden="1">
      <c r="A196" s="11">
        <v>16</v>
      </c>
      <c r="B196" t="s" s="12">
        <v>338</v>
      </c>
      <c r="C196" s="13">
        <v>14.2</v>
      </c>
      <c r="D196" s="13">
        <v>6109</v>
      </c>
      <c r="E196" s="13">
        <v>2022</v>
      </c>
      <c r="F196" t="s" s="14">
        <v>29</v>
      </c>
      <c r="G196" s="13">
        <v>5</v>
      </c>
      <c r="H196" s="13">
        <v>332</v>
      </c>
      <c r="I196" t="s" s="14">
        <v>363</v>
      </c>
      <c r="J196" t="s" s="14">
        <v>364</v>
      </c>
      <c r="K196" s="15"/>
      <c r="L196" s="13">
        <v>30.8</v>
      </c>
      <c r="M196" s="13">
        <v>16.6</v>
      </c>
      <c r="N196" s="13">
        <v>8.300000000000001</v>
      </c>
      <c r="O196" s="13">
        <v>3</v>
      </c>
      <c r="P196" s="13">
        <v>11.2</v>
      </c>
      <c r="Q196" s="15"/>
      <c r="R196" s="13">
        <v>14.52</v>
      </c>
      <c r="S196" s="13">
        <v>237.647</v>
      </c>
      <c r="T196" s="13">
        <v>2.74</v>
      </c>
      <c r="U196" s="13">
        <v>145.693</v>
      </c>
      <c r="V196" s="13">
        <v>13.2375</v>
      </c>
      <c r="W196" s="13">
        <v>0.380062085876767</v>
      </c>
      <c r="X196" s="13">
        <v>14.3983801325194</v>
      </c>
      <c r="Y196" s="13">
        <f>X196-O196</f>
        <v>11.3983801325194</v>
      </c>
      <c r="Z196" s="13">
        <f>Y196*4800/SUM(Y3:Y252)</f>
        <v>3.86139248926484</v>
      </c>
      <c r="AA196" s="15"/>
      <c r="AB196" s="15"/>
    </row>
    <row r="197" ht="20.05" customHeight="1">
      <c r="A197" s="11">
        <v>2</v>
      </c>
      <c r="B197" t="s" s="12">
        <v>341</v>
      </c>
      <c r="C197" s="13">
        <v>96</v>
      </c>
      <c r="D197" t="s" s="14">
        <v>365</v>
      </c>
      <c r="E197" s="13">
        <v>2023</v>
      </c>
      <c r="F197" t="s" s="14">
        <v>29</v>
      </c>
      <c r="G197" s="15"/>
      <c r="H197" s="13">
        <v>106.4</v>
      </c>
      <c r="I197" t="s" s="14">
        <v>366</v>
      </c>
      <c r="J197" t="s" s="14">
        <v>367</v>
      </c>
      <c r="K197" t="s" s="14">
        <f>_xlfn.CONCAT(LEFT(I197,1),". ",J197)</f>
        <v>368</v>
      </c>
      <c r="L197" s="13">
        <v>109</v>
      </c>
      <c r="M197" s="13">
        <v>13</v>
      </c>
      <c r="N197" s="13">
        <v>92</v>
      </c>
      <c r="O197" s="13">
        <v>85</v>
      </c>
      <c r="P197" s="13">
        <v>11</v>
      </c>
      <c r="Q197" s="13">
        <f>P197*4800/SUM(P3:P252)</f>
        <v>3.51458285629084</v>
      </c>
      <c r="R197" s="13">
        <v>92.75</v>
      </c>
      <c r="S197" s="13">
        <v>25.9347826086957</v>
      </c>
      <c r="T197" s="13">
        <v>47.3333333333333</v>
      </c>
      <c r="U197" s="13">
        <v>997.362318840580</v>
      </c>
      <c r="V197" s="13">
        <v>140.083333333333</v>
      </c>
      <c r="W197" s="13">
        <v>0.974655666890911</v>
      </c>
      <c r="X197" s="13">
        <v>95.9176309173955</v>
      </c>
      <c r="Y197" s="13">
        <f>X197-O197</f>
        <v>10.9176309173955</v>
      </c>
      <c r="Z197" s="13">
        <f>Y197*4800/SUM(Y3:Y252)</f>
        <v>3.69853062758651</v>
      </c>
      <c r="AA197" s="15"/>
      <c r="AB197" s="13">
        <f>_xlfn.XLOOKUP(K197,AF256:AF398,AH256:AH398)</f>
        <v>2</v>
      </c>
    </row>
    <row r="198" ht="20.05" customHeight="1">
      <c r="A198" s="11">
        <v>9</v>
      </c>
      <c r="B198" t="s" s="12">
        <v>341</v>
      </c>
      <c r="C198" s="13">
        <v>96</v>
      </c>
      <c r="D198" t="s" s="14">
        <v>369</v>
      </c>
      <c r="E198" s="13">
        <v>2023</v>
      </c>
      <c r="F198" t="s" s="14">
        <v>29</v>
      </c>
      <c r="G198" s="15"/>
      <c r="H198" s="13">
        <v>157.8</v>
      </c>
      <c r="I198" t="s" s="14">
        <v>370</v>
      </c>
      <c r="J198" t="s" s="14">
        <v>371</v>
      </c>
      <c r="K198" t="s" s="14">
        <f>_xlfn.CONCAT(LEFT(I198,1),". ",J198)</f>
        <v>372</v>
      </c>
      <c r="L198" s="13">
        <v>158</v>
      </c>
      <c r="M198" s="13">
        <v>62</v>
      </c>
      <c r="N198" s="13">
        <v>92</v>
      </c>
      <c r="O198" s="13">
        <v>85</v>
      </c>
      <c r="P198" s="13">
        <v>11</v>
      </c>
      <c r="Q198" s="13">
        <f>P198*4800/SUM(P3:P252)</f>
        <v>3.51458285629084</v>
      </c>
      <c r="R198" s="13">
        <v>92.75</v>
      </c>
      <c r="S198" s="13">
        <v>25.9347826086957</v>
      </c>
      <c r="T198" s="13">
        <v>47.3333333333333</v>
      </c>
      <c r="U198" s="13">
        <v>997.362318840580</v>
      </c>
      <c r="V198" s="13">
        <v>140.083333333333</v>
      </c>
      <c r="W198" s="13">
        <v>0.974655666890911</v>
      </c>
      <c r="X198" s="13">
        <v>95.9176309173955</v>
      </c>
      <c r="Y198" s="13">
        <f>X198-O198</f>
        <v>10.9176309173955</v>
      </c>
      <c r="Z198" s="13">
        <f>Y198*4800/SUM(Y3:Y252)</f>
        <v>3.69853062758651</v>
      </c>
      <c r="AA198" s="15"/>
      <c r="AB198" s="13">
        <f>_xlfn.XLOOKUP(K198,AF256:AF398,AH256:AH398)</f>
        <v>1</v>
      </c>
    </row>
    <row r="199" ht="8.35" customHeight="1" hidden="1">
      <c r="A199" s="11">
        <v>18</v>
      </c>
      <c r="B199" t="s" s="12">
        <v>338</v>
      </c>
      <c r="C199" s="13">
        <v>8.300000000000001</v>
      </c>
      <c r="D199" s="13">
        <v>2471</v>
      </c>
      <c r="E199" s="13">
        <v>2022</v>
      </c>
      <c r="F199" t="s" s="14">
        <v>29</v>
      </c>
      <c r="G199" s="13">
        <v>9</v>
      </c>
      <c r="H199" s="13">
        <v>515.3</v>
      </c>
      <c r="I199" t="s" s="14">
        <v>238</v>
      </c>
      <c r="J199" t="s" s="14">
        <v>373</v>
      </c>
      <c r="K199" s="15"/>
      <c r="L199" s="13">
        <v>2.8</v>
      </c>
      <c r="M199" s="13">
        <v>-5.5</v>
      </c>
      <c r="N199" s="13">
        <v>8.300000000000001</v>
      </c>
      <c r="O199" s="13">
        <v>3</v>
      </c>
      <c r="P199" s="13">
        <v>5.3</v>
      </c>
      <c r="Q199" s="15"/>
      <c r="R199" s="13">
        <v>14.52</v>
      </c>
      <c r="S199" s="13">
        <v>237.647</v>
      </c>
      <c r="T199" s="13">
        <v>2.74</v>
      </c>
      <c r="U199" s="13">
        <v>145.693</v>
      </c>
      <c r="V199" s="13">
        <v>13.2375</v>
      </c>
      <c r="W199" s="13">
        <v>0.380062085876767</v>
      </c>
      <c r="X199" s="13">
        <v>12.1560138258465</v>
      </c>
      <c r="Y199" s="13">
        <f>X199-O199</f>
        <v>9.1560138258465</v>
      </c>
      <c r="Z199" s="13">
        <f>Y199*4800/SUM(Y3:Y252)</f>
        <v>3.10175328491296</v>
      </c>
      <c r="AA199" s="15"/>
      <c r="AB199" s="15"/>
    </row>
    <row r="200" ht="8.35" customHeight="1" hidden="1">
      <c r="A200" s="11">
        <v>22</v>
      </c>
      <c r="B200" t="s" s="12">
        <v>338</v>
      </c>
      <c r="C200" s="13">
        <v>6</v>
      </c>
      <c r="D200" s="13">
        <v>6202</v>
      </c>
      <c r="E200" s="13">
        <v>2022</v>
      </c>
      <c r="F200" t="s" s="14">
        <v>29</v>
      </c>
      <c r="G200" s="13">
        <v>5</v>
      </c>
      <c r="H200" s="13">
        <v>619.4</v>
      </c>
      <c r="I200" t="s" s="14">
        <v>374</v>
      </c>
      <c r="J200" t="s" s="14">
        <v>276</v>
      </c>
      <c r="K200" s="15"/>
      <c r="L200" s="13">
        <v>3.5</v>
      </c>
      <c r="M200" s="13">
        <v>-2.5</v>
      </c>
      <c r="N200" s="13">
        <v>8.300000000000001</v>
      </c>
      <c r="O200" s="13">
        <v>3</v>
      </c>
      <c r="P200" s="13">
        <v>3</v>
      </c>
      <c r="Q200" s="15"/>
      <c r="R200" s="13">
        <v>14.52</v>
      </c>
      <c r="S200" s="13">
        <v>237.647</v>
      </c>
      <c r="T200" s="13">
        <v>2.74</v>
      </c>
      <c r="U200" s="13">
        <v>145.693</v>
      </c>
      <c r="V200" s="13">
        <v>13.2375</v>
      </c>
      <c r="W200" s="13">
        <v>0.380062085876767</v>
      </c>
      <c r="X200" s="13">
        <v>11.2818710283299</v>
      </c>
      <c r="Y200" s="13">
        <f>X200-O200</f>
        <v>8.281871028329901</v>
      </c>
      <c r="Z200" s="13">
        <f>Y200*4800/SUM(Y3:Y252)</f>
        <v>2.80562274762323</v>
      </c>
      <c r="AA200" s="15"/>
      <c r="AB200" s="15"/>
    </row>
    <row r="201" ht="8.35" customHeight="1" hidden="1">
      <c r="A201" s="11">
        <v>4</v>
      </c>
      <c r="B201" t="s" s="12">
        <v>341</v>
      </c>
      <c r="C201" s="13">
        <v>93</v>
      </c>
      <c r="D201" t="s" s="14">
        <v>342</v>
      </c>
      <c r="E201" s="13">
        <v>2022</v>
      </c>
      <c r="F201" t="s" s="14">
        <v>29</v>
      </c>
      <c r="G201" s="15"/>
      <c r="H201" s="13">
        <v>127.6</v>
      </c>
      <c r="I201" t="s" s="14">
        <v>343</v>
      </c>
      <c r="J201" t="s" s="14">
        <v>344</v>
      </c>
      <c r="K201" s="15"/>
      <c r="L201" s="13">
        <v>167</v>
      </c>
      <c r="M201" s="13">
        <v>74</v>
      </c>
      <c r="N201" s="13">
        <v>92</v>
      </c>
      <c r="O201" s="13">
        <v>85</v>
      </c>
      <c r="P201" s="13">
        <v>8</v>
      </c>
      <c r="Q201" s="15"/>
      <c r="R201" s="13">
        <v>92.75</v>
      </c>
      <c r="S201" s="13">
        <v>25.9347826086957</v>
      </c>
      <c r="T201" s="13">
        <v>47.3333333333333</v>
      </c>
      <c r="U201" s="13">
        <v>997.362318840580</v>
      </c>
      <c r="V201" s="13">
        <v>140.083333333333</v>
      </c>
      <c r="W201" s="13">
        <v>0.974655666890911</v>
      </c>
      <c r="X201" s="13">
        <v>92.9936639167227</v>
      </c>
      <c r="Y201" s="13">
        <f>X201-O201</f>
        <v>7.9936639167227</v>
      </c>
      <c r="Z201" s="13">
        <f>Y201*4800/SUM(Y3:Y252)</f>
        <v>2.70798775360003</v>
      </c>
      <c r="AA201" s="15"/>
      <c r="AB201" s="15"/>
    </row>
    <row r="202" ht="8.35" customHeight="1" hidden="1">
      <c r="A202" s="11">
        <v>5</v>
      </c>
      <c r="B202" t="s" s="12">
        <v>341</v>
      </c>
      <c r="C202" s="13">
        <v>93</v>
      </c>
      <c r="D202" t="s" s="14">
        <v>351</v>
      </c>
      <c r="E202" s="13">
        <v>2022</v>
      </c>
      <c r="F202" t="s" s="14">
        <v>29</v>
      </c>
      <c r="G202" s="15"/>
      <c r="H202" s="13">
        <v>132.2</v>
      </c>
      <c r="I202" t="s" s="14">
        <v>309</v>
      </c>
      <c r="J202" t="s" s="14">
        <v>352</v>
      </c>
      <c r="K202" s="15"/>
      <c r="L202" s="13">
        <v>186</v>
      </c>
      <c r="M202" s="13">
        <v>93</v>
      </c>
      <c r="N202" s="13">
        <v>92</v>
      </c>
      <c r="O202" s="13">
        <v>85</v>
      </c>
      <c r="P202" s="13">
        <v>8</v>
      </c>
      <c r="Q202" s="15"/>
      <c r="R202" s="13">
        <v>92.75</v>
      </c>
      <c r="S202" s="13">
        <v>25.9347826086957</v>
      </c>
      <c r="T202" s="13">
        <v>47.3333333333333</v>
      </c>
      <c r="U202" s="13">
        <v>997.362318840580</v>
      </c>
      <c r="V202" s="13">
        <v>140.083333333333</v>
      </c>
      <c r="W202" s="13">
        <v>0.974655666890911</v>
      </c>
      <c r="X202" s="13">
        <v>92.9936639167227</v>
      </c>
      <c r="Y202" s="13">
        <f>X202-O202</f>
        <v>7.9936639167227</v>
      </c>
      <c r="Z202" s="13">
        <f>Y202*4800/SUM(Y3:Y252)</f>
        <v>2.70798775360003</v>
      </c>
      <c r="AA202" s="15"/>
      <c r="AB202" s="15"/>
    </row>
    <row r="203" ht="8.35" customHeight="1" hidden="1">
      <c r="A203" s="11">
        <v>9</v>
      </c>
      <c r="B203" t="s" s="12">
        <v>341</v>
      </c>
      <c r="C203" s="13">
        <v>93</v>
      </c>
      <c r="D203" t="s" s="14">
        <v>375</v>
      </c>
      <c r="E203" s="13">
        <v>2022</v>
      </c>
      <c r="F203" t="s" s="14">
        <v>29</v>
      </c>
      <c r="G203" s="15"/>
      <c r="H203" s="13">
        <v>160.2</v>
      </c>
      <c r="I203" t="s" s="14">
        <v>376</v>
      </c>
      <c r="J203" t="s" s="14">
        <v>377</v>
      </c>
      <c r="K203" s="15"/>
      <c r="L203" s="13">
        <v>118</v>
      </c>
      <c r="M203" s="13">
        <v>25</v>
      </c>
      <c r="N203" s="13">
        <v>92</v>
      </c>
      <c r="O203" s="13">
        <v>85</v>
      </c>
      <c r="P203" s="13">
        <v>8</v>
      </c>
      <c r="Q203" s="15"/>
      <c r="R203" s="13">
        <v>92.75</v>
      </c>
      <c r="S203" s="13">
        <v>25.9347826086957</v>
      </c>
      <c r="T203" s="13">
        <v>47.3333333333333</v>
      </c>
      <c r="U203" s="13">
        <v>997.362318840580</v>
      </c>
      <c r="V203" s="13">
        <v>140.083333333333</v>
      </c>
      <c r="W203" s="13">
        <v>0.974655666890911</v>
      </c>
      <c r="X203" s="13">
        <v>92.9936639167227</v>
      </c>
      <c r="Y203" s="13">
        <f>X203-O203</f>
        <v>7.9936639167227</v>
      </c>
      <c r="Z203" s="13">
        <f>Y203*4800/SUM(Y3:Y252)</f>
        <v>2.70798775360003</v>
      </c>
      <c r="AA203" s="15"/>
      <c r="AB203" s="15"/>
    </row>
    <row r="204" ht="8.35" customHeight="1" hidden="1">
      <c r="A204" s="11">
        <v>13</v>
      </c>
      <c r="B204" t="s" s="12">
        <v>338</v>
      </c>
      <c r="C204" s="13">
        <v>3</v>
      </c>
      <c r="D204" s="13">
        <v>3354</v>
      </c>
      <c r="E204" s="13">
        <v>2022</v>
      </c>
      <c r="F204" t="s" s="14">
        <v>29</v>
      </c>
      <c r="G204" s="13">
        <v>7</v>
      </c>
      <c r="H204" s="13">
        <v>263.4</v>
      </c>
      <c r="I204" t="s" s="14">
        <v>378</v>
      </c>
      <c r="J204" t="s" s="14">
        <v>379</v>
      </c>
      <c r="K204" s="15"/>
      <c r="L204" s="13">
        <v>17.7</v>
      </c>
      <c r="M204" s="13">
        <v>14.7</v>
      </c>
      <c r="N204" s="13">
        <v>8.300000000000001</v>
      </c>
      <c r="O204" s="13">
        <v>3</v>
      </c>
      <c r="P204" s="13">
        <v>0</v>
      </c>
      <c r="Q204" s="15"/>
      <c r="R204" s="13">
        <v>14.52</v>
      </c>
      <c r="S204" s="13">
        <v>237.647</v>
      </c>
      <c r="T204" s="13">
        <v>2.74</v>
      </c>
      <c r="U204" s="13">
        <v>145.693</v>
      </c>
      <c r="V204" s="13">
        <v>13.2375</v>
      </c>
      <c r="W204" s="13">
        <v>0.380062085876767</v>
      </c>
      <c r="X204" s="13">
        <v>10.1416847706996</v>
      </c>
      <c r="Y204" s="13">
        <f>X204-O204</f>
        <v>7.1416847706996</v>
      </c>
      <c r="Z204" s="13">
        <f>Y204*4800/SUM(Y3:Y252)</f>
        <v>2.41936552507143</v>
      </c>
      <c r="AA204" s="15"/>
      <c r="AB204" s="15"/>
    </row>
    <row r="205" ht="8.35" customHeight="1" hidden="1">
      <c r="A205" s="11">
        <v>6</v>
      </c>
      <c r="B205" t="s" s="12">
        <v>341</v>
      </c>
      <c r="C205" s="13">
        <v>92</v>
      </c>
      <c r="D205" t="s" s="14">
        <v>380</v>
      </c>
      <c r="E205" s="13">
        <v>2022</v>
      </c>
      <c r="F205" t="s" s="14">
        <v>29</v>
      </c>
      <c r="G205" s="15"/>
      <c r="H205" s="13">
        <v>132.6</v>
      </c>
      <c r="I205" t="s" s="14">
        <v>381</v>
      </c>
      <c r="J205" t="s" s="14">
        <v>382</v>
      </c>
      <c r="K205" s="15"/>
      <c r="L205" s="13">
        <v>143</v>
      </c>
      <c r="M205" s="13">
        <v>51</v>
      </c>
      <c r="N205" s="13">
        <v>92</v>
      </c>
      <c r="O205" s="13">
        <v>85</v>
      </c>
      <c r="P205" s="13">
        <v>7</v>
      </c>
      <c r="Q205" s="15"/>
      <c r="R205" s="13">
        <v>92.75</v>
      </c>
      <c r="S205" s="13">
        <v>25.9347826086957</v>
      </c>
      <c r="T205" s="13">
        <v>47.3333333333333</v>
      </c>
      <c r="U205" s="13">
        <v>997.362318840580</v>
      </c>
      <c r="V205" s="13">
        <v>140.083333333333</v>
      </c>
      <c r="W205" s="13">
        <v>0.974655666890911</v>
      </c>
      <c r="X205" s="13">
        <v>92.0190082498318</v>
      </c>
      <c r="Y205" s="13">
        <f>X205-O205</f>
        <v>7.0190082498318</v>
      </c>
      <c r="Z205" s="13">
        <f>Y205*4800/SUM(Y3:Y252)</f>
        <v>2.37780679560455</v>
      </c>
      <c r="AA205" s="15"/>
      <c r="AB205" s="15"/>
    </row>
    <row r="206" ht="20.05" customHeight="1">
      <c r="A206" s="11">
        <v>8</v>
      </c>
      <c r="B206" t="s" s="12">
        <v>341</v>
      </c>
      <c r="C206" s="13">
        <v>92</v>
      </c>
      <c r="D206" t="s" s="14">
        <v>383</v>
      </c>
      <c r="E206" s="13">
        <v>2023</v>
      </c>
      <c r="F206" t="s" s="14">
        <v>29</v>
      </c>
      <c r="G206" s="15"/>
      <c r="H206" s="13">
        <v>151.8</v>
      </c>
      <c r="I206" t="s" s="14">
        <v>384</v>
      </c>
      <c r="J206" t="s" s="14">
        <v>385</v>
      </c>
      <c r="K206" t="s" s="14">
        <f>_xlfn.CONCAT(LEFT(I206,1),". ",J206)</f>
        <v>386</v>
      </c>
      <c r="L206" s="13">
        <v>118</v>
      </c>
      <c r="M206" s="13">
        <v>26</v>
      </c>
      <c r="N206" s="13">
        <v>92</v>
      </c>
      <c r="O206" s="13">
        <v>85</v>
      </c>
      <c r="P206" s="13">
        <v>7</v>
      </c>
      <c r="Q206" s="13">
        <f>P206*4800/SUM(P3:P252)</f>
        <v>2.23655272673053</v>
      </c>
      <c r="R206" s="13">
        <v>92.75</v>
      </c>
      <c r="S206" s="13">
        <v>25.9347826086957</v>
      </c>
      <c r="T206" s="13">
        <v>47.3333333333333</v>
      </c>
      <c r="U206" s="13">
        <v>997.362318840580</v>
      </c>
      <c r="V206" s="13">
        <v>140.083333333333</v>
      </c>
      <c r="W206" s="13">
        <v>0.974655666890911</v>
      </c>
      <c r="X206" s="13">
        <v>92.0190082498318</v>
      </c>
      <c r="Y206" s="13">
        <f>X206-O206</f>
        <v>7.0190082498318</v>
      </c>
      <c r="Z206" s="13">
        <f>Y206*4800/SUM(Y3:Y252)</f>
        <v>2.37780679560455</v>
      </c>
      <c r="AA206" s="15"/>
      <c r="AB206" s="13">
        <f>_xlfn.XLOOKUP(K206,AF256:AF398,AH256:AH398)</f>
        <v>1</v>
      </c>
    </row>
    <row r="207" ht="20.05" customHeight="1">
      <c r="A207" s="11">
        <v>11</v>
      </c>
      <c r="B207" t="s" s="12">
        <v>341</v>
      </c>
      <c r="C207" s="13">
        <v>92</v>
      </c>
      <c r="D207" t="s" s="14">
        <v>387</v>
      </c>
      <c r="E207" s="13">
        <v>2023</v>
      </c>
      <c r="F207" t="s" s="14">
        <v>29</v>
      </c>
      <c r="G207" s="15"/>
      <c r="H207" s="13">
        <v>161.4</v>
      </c>
      <c r="I207" t="s" s="14">
        <v>388</v>
      </c>
      <c r="J207" t="s" s="14">
        <v>389</v>
      </c>
      <c r="K207" t="s" s="14">
        <f>_xlfn.CONCAT(LEFT(I207,1),". ",J207)</f>
        <v>390</v>
      </c>
      <c r="L207" s="13">
        <v>156</v>
      </c>
      <c r="M207" s="13">
        <v>64</v>
      </c>
      <c r="N207" s="13">
        <v>92</v>
      </c>
      <c r="O207" s="13">
        <v>85</v>
      </c>
      <c r="P207" s="13">
        <v>7</v>
      </c>
      <c r="Q207" s="13">
        <f>P207*4800/SUM(P3:P252)</f>
        <v>2.23655272673053</v>
      </c>
      <c r="R207" s="13">
        <v>92.75</v>
      </c>
      <c r="S207" s="13">
        <v>25.9347826086957</v>
      </c>
      <c r="T207" s="13">
        <v>47.3333333333333</v>
      </c>
      <c r="U207" s="13">
        <v>997.362318840580</v>
      </c>
      <c r="V207" s="13">
        <v>140.083333333333</v>
      </c>
      <c r="W207" s="13">
        <v>0.974655666890911</v>
      </c>
      <c r="X207" s="13">
        <v>92.0190082498318</v>
      </c>
      <c r="Y207" s="13">
        <f>X207-O207</f>
        <v>7.0190082498318</v>
      </c>
      <c r="Z207" s="13">
        <f>Y207*4800/SUM(Y3:Y252)</f>
        <v>2.37780679560455</v>
      </c>
      <c r="AA207" s="15"/>
      <c r="AB207" s="15">
        <f>_xlfn.XLOOKUP(K207,AF256:AF398,AH256:AH398)</f>
      </c>
    </row>
    <row r="208" ht="20.05" customHeight="1">
      <c r="A208" s="11">
        <v>12</v>
      </c>
      <c r="B208" t="s" s="12">
        <v>341</v>
      </c>
      <c r="C208" s="13">
        <v>92</v>
      </c>
      <c r="D208" t="s" s="14">
        <v>391</v>
      </c>
      <c r="E208" s="13">
        <v>2023</v>
      </c>
      <c r="F208" t="s" s="14">
        <v>29</v>
      </c>
      <c r="G208" s="15"/>
      <c r="H208" s="13">
        <v>177.8</v>
      </c>
      <c r="I208" t="s" s="14">
        <v>392</v>
      </c>
      <c r="J208" t="s" s="14">
        <v>393</v>
      </c>
      <c r="K208" t="s" s="14">
        <f>_xlfn.CONCAT(LEFT(I208,1),". ",J208)</f>
        <v>394</v>
      </c>
      <c r="L208" s="13">
        <v>116</v>
      </c>
      <c r="M208" s="13">
        <v>24</v>
      </c>
      <c r="N208" s="13">
        <v>92</v>
      </c>
      <c r="O208" s="13">
        <v>85</v>
      </c>
      <c r="P208" s="13">
        <v>7</v>
      </c>
      <c r="Q208" s="13">
        <f>P208*4800/SUM(P3:P252)</f>
        <v>2.23655272673053</v>
      </c>
      <c r="R208" s="13">
        <v>92.75</v>
      </c>
      <c r="S208" s="13">
        <v>25.9347826086957</v>
      </c>
      <c r="T208" s="13">
        <v>47.3333333333333</v>
      </c>
      <c r="U208" s="13">
        <v>997.362318840580</v>
      </c>
      <c r="V208" s="13">
        <v>140.083333333333</v>
      </c>
      <c r="W208" s="13">
        <v>0.974655666890911</v>
      </c>
      <c r="X208" s="13">
        <v>92.0190082498318</v>
      </c>
      <c r="Y208" s="13">
        <f>X208-O208</f>
        <v>7.0190082498318</v>
      </c>
      <c r="Z208" s="13">
        <f>Y208*4800/SUM(Y3:Y252)</f>
        <v>2.37780679560455</v>
      </c>
      <c r="AA208" s="15"/>
      <c r="AB208" s="15">
        <f>_xlfn.XLOOKUP(K208,AF256:AF398,AH256:AH398)</f>
      </c>
    </row>
    <row r="209" ht="8.35" customHeight="1" hidden="1">
      <c r="A209" s="11">
        <v>3</v>
      </c>
      <c r="B209" t="s" s="12">
        <v>341</v>
      </c>
      <c r="C209" s="13">
        <v>91</v>
      </c>
      <c r="D209" t="s" s="14">
        <v>395</v>
      </c>
      <c r="E209" s="13">
        <v>2022</v>
      </c>
      <c r="F209" t="s" s="14">
        <v>29</v>
      </c>
      <c r="G209" s="15"/>
      <c r="H209" s="13">
        <v>123.9</v>
      </c>
      <c r="I209" t="s" s="14">
        <v>396</v>
      </c>
      <c r="J209" t="s" s="14">
        <v>397</v>
      </c>
      <c r="K209" s="15"/>
      <c r="L209" s="13">
        <v>107</v>
      </c>
      <c r="M209" s="13">
        <v>16</v>
      </c>
      <c r="N209" s="13">
        <v>92</v>
      </c>
      <c r="O209" s="13">
        <v>85</v>
      </c>
      <c r="P209" s="13">
        <v>6</v>
      </c>
      <c r="Q209" s="15"/>
      <c r="R209" s="13">
        <v>92.75</v>
      </c>
      <c r="S209" s="13">
        <v>25.9347826086957</v>
      </c>
      <c r="T209" s="13">
        <v>47.3333333333333</v>
      </c>
      <c r="U209" s="13">
        <v>997.362318840580</v>
      </c>
      <c r="V209" s="13">
        <v>140.083333333333</v>
      </c>
      <c r="W209" s="13">
        <v>0.974655666890911</v>
      </c>
      <c r="X209" s="13">
        <v>91.0443525829409</v>
      </c>
      <c r="Y209" s="13">
        <f>X209-O209</f>
        <v>6.0443525829409</v>
      </c>
      <c r="Z209" s="13">
        <f>Y209*4800/SUM(Y3:Y252)</f>
        <v>2.04762583760906</v>
      </c>
      <c r="AA209" s="15"/>
      <c r="AB209" s="15"/>
    </row>
    <row r="210" ht="20.05" customHeight="1">
      <c r="A210" s="11">
        <v>5</v>
      </c>
      <c r="B210" t="s" s="12">
        <v>341</v>
      </c>
      <c r="C210" s="13">
        <v>91</v>
      </c>
      <c r="D210" t="s" s="14">
        <v>398</v>
      </c>
      <c r="E210" s="13">
        <v>2023</v>
      </c>
      <c r="F210" t="s" s="14">
        <v>29</v>
      </c>
      <c r="G210" s="15"/>
      <c r="H210" s="13">
        <v>125.5</v>
      </c>
      <c r="I210" t="s" s="14">
        <v>399</v>
      </c>
      <c r="J210" t="s" s="14">
        <v>400</v>
      </c>
      <c r="K210" t="s" s="14">
        <f>_xlfn.CONCAT(LEFT(I210,1),". ",J210)</f>
        <v>401</v>
      </c>
      <c r="L210" s="13">
        <v>167</v>
      </c>
      <c r="M210" s="13">
        <v>76</v>
      </c>
      <c r="N210" s="13">
        <v>92</v>
      </c>
      <c r="O210" s="13">
        <v>85</v>
      </c>
      <c r="P210" s="13">
        <v>6</v>
      </c>
      <c r="Q210" s="13">
        <f>P210*4800/SUM(P3:P252)</f>
        <v>1.91704519434046</v>
      </c>
      <c r="R210" s="13">
        <v>92.75</v>
      </c>
      <c r="S210" s="13">
        <v>25.9347826086957</v>
      </c>
      <c r="T210" s="13">
        <v>47.3333333333333</v>
      </c>
      <c r="U210" s="13">
        <v>997.362318840580</v>
      </c>
      <c r="V210" s="13">
        <v>140.083333333333</v>
      </c>
      <c r="W210" s="13">
        <v>0.974655666890911</v>
      </c>
      <c r="X210" s="13">
        <v>91.0443525829409</v>
      </c>
      <c r="Y210" s="13">
        <f>X210-O210</f>
        <v>6.0443525829409</v>
      </c>
      <c r="Z210" s="13">
        <f>Y210*4800/SUM(Y3:Y252)</f>
        <v>2.04762583760906</v>
      </c>
      <c r="AA210" s="15"/>
      <c r="AB210" s="13">
        <f>_xlfn.XLOOKUP(K210,AF256:AF398,AH256:AH398)</f>
        <v>2</v>
      </c>
    </row>
    <row r="211" ht="8.35" customHeight="1" hidden="1">
      <c r="A211" s="11">
        <v>12</v>
      </c>
      <c r="B211" t="s" s="12">
        <v>341</v>
      </c>
      <c r="C211" s="13">
        <v>90</v>
      </c>
      <c r="D211" t="s" s="14">
        <v>402</v>
      </c>
      <c r="E211" s="13">
        <v>2022</v>
      </c>
      <c r="F211" t="s" s="14">
        <v>29</v>
      </c>
      <c r="G211" s="15"/>
      <c r="H211" s="13">
        <v>177.3</v>
      </c>
      <c r="I211" t="s" s="14">
        <v>403</v>
      </c>
      <c r="J211" t="s" s="14">
        <v>404</v>
      </c>
      <c r="K211" s="15"/>
      <c r="L211" s="13">
        <v>123</v>
      </c>
      <c r="M211" s="13">
        <v>33</v>
      </c>
      <c r="N211" s="13">
        <v>92</v>
      </c>
      <c r="O211" s="13">
        <v>85</v>
      </c>
      <c r="P211" s="13">
        <v>5</v>
      </c>
      <c r="Q211" s="15"/>
      <c r="R211" s="13">
        <v>92.75</v>
      </c>
      <c r="S211" s="13">
        <v>25.9347826086957</v>
      </c>
      <c r="T211" s="13">
        <v>47.3333333333333</v>
      </c>
      <c r="U211" s="13">
        <v>997.362318840580</v>
      </c>
      <c r="V211" s="13">
        <v>140.083333333333</v>
      </c>
      <c r="W211" s="13">
        <v>0.974655666890911</v>
      </c>
      <c r="X211" s="13">
        <v>90.06969691605001</v>
      </c>
      <c r="Y211" s="13">
        <f>X211-O211</f>
        <v>5.069696916050</v>
      </c>
      <c r="Z211" s="13">
        <f>Y211*4800/SUM(Y3:Y252)</f>
        <v>1.71744487961358</v>
      </c>
      <c r="AA211" s="15"/>
      <c r="AB211" s="15"/>
    </row>
    <row r="212" ht="20.05" customHeight="1">
      <c r="A212" s="11">
        <v>7</v>
      </c>
      <c r="B212" t="s" s="12">
        <v>341</v>
      </c>
      <c r="C212" s="13">
        <v>90</v>
      </c>
      <c r="D212" t="s" s="14">
        <v>375</v>
      </c>
      <c r="E212" s="13">
        <v>2023</v>
      </c>
      <c r="F212" t="s" s="14">
        <v>29</v>
      </c>
      <c r="G212" s="15"/>
      <c r="H212" s="13">
        <v>149.9</v>
      </c>
      <c r="I212" t="s" s="14">
        <v>376</v>
      </c>
      <c r="J212" t="s" s="14">
        <v>377</v>
      </c>
      <c r="K212" t="s" s="14">
        <f>_xlfn.CONCAT(LEFT(I212,1),". ",J212)</f>
        <v>405</v>
      </c>
      <c r="L212" s="13">
        <v>144</v>
      </c>
      <c r="M212" s="13">
        <v>54</v>
      </c>
      <c r="N212" s="13">
        <v>92</v>
      </c>
      <c r="O212" s="13">
        <v>85</v>
      </c>
      <c r="P212" s="13">
        <v>5</v>
      </c>
      <c r="Q212" s="13">
        <f>P212*4800/SUM(P3:P252)</f>
        <v>1.59753766195038</v>
      </c>
      <c r="R212" s="13">
        <v>92.75</v>
      </c>
      <c r="S212" s="13">
        <v>25.9347826086957</v>
      </c>
      <c r="T212" s="13">
        <v>47.3333333333333</v>
      </c>
      <c r="U212" s="13">
        <v>997.362318840580</v>
      </c>
      <c r="V212" s="13">
        <v>140.083333333333</v>
      </c>
      <c r="W212" s="13">
        <v>0.974655666890911</v>
      </c>
      <c r="X212" s="13">
        <v>90.06969691605001</v>
      </c>
      <c r="Y212" s="13">
        <f>X212-O212</f>
        <v>5.069696916050</v>
      </c>
      <c r="Z212" s="13">
        <f>Y212*4800/SUM(Y3:Y252)</f>
        <v>1.71744487961358</v>
      </c>
      <c r="AA212" s="15"/>
      <c r="AB212" s="13">
        <f>_xlfn.XLOOKUP(K212,AF256:AF398,AH256:AH398)</f>
        <v>1</v>
      </c>
    </row>
    <row r="213" ht="8.35" customHeight="1" hidden="1">
      <c r="A213" s="11">
        <v>11</v>
      </c>
      <c r="B213" t="s" s="12">
        <v>341</v>
      </c>
      <c r="C213" s="13">
        <v>89</v>
      </c>
      <c r="D213" t="s" s="14">
        <v>383</v>
      </c>
      <c r="E213" s="13">
        <v>2022</v>
      </c>
      <c r="F213" t="s" s="14">
        <v>29</v>
      </c>
      <c r="G213" s="15"/>
      <c r="H213" s="13">
        <v>176.6</v>
      </c>
      <c r="I213" t="s" s="14">
        <v>384</v>
      </c>
      <c r="J213" t="s" s="14">
        <v>385</v>
      </c>
      <c r="K213" s="15"/>
      <c r="L213" s="13">
        <v>194</v>
      </c>
      <c r="M213" s="13">
        <v>105</v>
      </c>
      <c r="N213" s="13">
        <v>92</v>
      </c>
      <c r="O213" s="13">
        <v>85</v>
      </c>
      <c r="P213" s="13">
        <v>4</v>
      </c>
      <c r="Q213" s="15"/>
      <c r="R213" s="13">
        <v>92.75</v>
      </c>
      <c r="S213" s="13">
        <v>25.9347826086957</v>
      </c>
      <c r="T213" s="13">
        <v>47.3333333333333</v>
      </c>
      <c r="U213" s="13">
        <v>997.362318840580</v>
      </c>
      <c r="V213" s="13">
        <v>140.083333333333</v>
      </c>
      <c r="W213" s="13">
        <v>0.974655666890911</v>
      </c>
      <c r="X213" s="13">
        <v>89.0950412491591</v>
      </c>
      <c r="Y213" s="13">
        <f>X213-O213</f>
        <v>4.0950412491591</v>
      </c>
      <c r="Z213" s="13">
        <f>Y213*4800/SUM(Y3:Y252)</f>
        <v>1.3872639216181</v>
      </c>
      <c r="AA213" s="15"/>
      <c r="AB213" s="15"/>
    </row>
    <row r="214" ht="8.35" customHeight="1" hidden="1">
      <c r="A214" s="11">
        <v>7</v>
      </c>
      <c r="B214" t="s" s="12">
        <v>341</v>
      </c>
      <c r="C214" s="13">
        <v>87</v>
      </c>
      <c r="D214" t="s" s="14">
        <v>406</v>
      </c>
      <c r="E214" s="13">
        <v>2022</v>
      </c>
      <c r="F214" t="s" s="14">
        <v>29</v>
      </c>
      <c r="G214" s="15"/>
      <c r="H214" s="13">
        <v>134</v>
      </c>
      <c r="I214" t="s" s="14">
        <v>407</v>
      </c>
      <c r="J214" t="s" s="14">
        <v>408</v>
      </c>
      <c r="K214" s="15"/>
      <c r="L214" s="13">
        <v>122</v>
      </c>
      <c r="M214" s="13">
        <v>35</v>
      </c>
      <c r="N214" s="13">
        <v>92</v>
      </c>
      <c r="O214" s="13">
        <v>85</v>
      </c>
      <c r="P214" s="13">
        <v>2</v>
      </c>
      <c r="Q214" s="15"/>
      <c r="R214" s="13">
        <v>92.75</v>
      </c>
      <c r="S214" s="13">
        <v>25.9347826086957</v>
      </c>
      <c r="T214" s="13">
        <v>47.3333333333333</v>
      </c>
      <c r="U214" s="13">
        <v>997.362318840580</v>
      </c>
      <c r="V214" s="13">
        <v>140.083333333333</v>
      </c>
      <c r="W214" s="13">
        <v>0.974655666890911</v>
      </c>
      <c r="X214" s="13">
        <v>87.1457299153773</v>
      </c>
      <c r="Y214" s="13">
        <f>X214-O214</f>
        <v>2.1457299153773</v>
      </c>
      <c r="Z214" s="13">
        <f>Y214*4800/SUM(Y3:Y252)</f>
        <v>0.726902005627131</v>
      </c>
      <c r="AA214" s="15"/>
      <c r="AB214" s="15"/>
    </row>
    <row r="215" ht="8.35" customHeight="1" hidden="1">
      <c r="A215" s="11">
        <v>8</v>
      </c>
      <c r="B215" t="s" s="12">
        <v>341</v>
      </c>
      <c r="C215" s="13">
        <v>87</v>
      </c>
      <c r="D215" t="s" s="14">
        <v>409</v>
      </c>
      <c r="E215" s="13">
        <v>2022</v>
      </c>
      <c r="F215" t="s" s="14">
        <v>29</v>
      </c>
      <c r="G215" s="15"/>
      <c r="H215" s="13">
        <v>158.1</v>
      </c>
      <c r="I215" t="s" s="14">
        <v>396</v>
      </c>
      <c r="J215" t="s" s="14">
        <v>410</v>
      </c>
      <c r="K215" s="15"/>
      <c r="L215" s="13">
        <v>110</v>
      </c>
      <c r="M215" s="13">
        <v>23</v>
      </c>
      <c r="N215" s="13">
        <v>92</v>
      </c>
      <c r="O215" s="13">
        <v>85</v>
      </c>
      <c r="P215" s="13">
        <v>2</v>
      </c>
      <c r="Q215" s="15"/>
      <c r="R215" s="13">
        <v>92.75</v>
      </c>
      <c r="S215" s="13">
        <v>25.9347826086957</v>
      </c>
      <c r="T215" s="13">
        <v>47.3333333333333</v>
      </c>
      <c r="U215" s="13">
        <v>997.362318840580</v>
      </c>
      <c r="V215" s="13">
        <v>140.083333333333</v>
      </c>
      <c r="W215" s="13">
        <v>0.974655666890911</v>
      </c>
      <c r="X215" s="13">
        <v>87.1457299153773</v>
      </c>
      <c r="Y215" s="13">
        <f>X215-O215</f>
        <v>2.1457299153773</v>
      </c>
      <c r="Z215" s="13">
        <f>Y215*4800/SUM(Y3:Y252)</f>
        <v>0.726902005627131</v>
      </c>
      <c r="AA215" s="15"/>
      <c r="AB215" s="15"/>
    </row>
    <row r="216" ht="20.05" customHeight="1">
      <c r="A216" s="11">
        <v>6</v>
      </c>
      <c r="B216" t="s" s="12">
        <v>341</v>
      </c>
      <c r="C216" s="13">
        <v>87</v>
      </c>
      <c r="D216" t="s" s="14">
        <v>380</v>
      </c>
      <c r="E216" s="13">
        <v>2023</v>
      </c>
      <c r="F216" t="s" s="14">
        <v>29</v>
      </c>
      <c r="G216" s="15"/>
      <c r="H216" s="13">
        <v>143.6</v>
      </c>
      <c r="I216" t="s" s="14">
        <v>381</v>
      </c>
      <c r="J216" t="s" s="14">
        <v>382</v>
      </c>
      <c r="K216" t="s" s="14">
        <f>_xlfn.CONCAT(LEFT(I216,1),". ",J216)</f>
        <v>411</v>
      </c>
      <c r="L216" s="13">
        <v>182</v>
      </c>
      <c r="M216" s="13">
        <v>95</v>
      </c>
      <c r="N216" s="13">
        <v>92</v>
      </c>
      <c r="O216" s="13">
        <v>85</v>
      </c>
      <c r="P216" s="13">
        <v>2</v>
      </c>
      <c r="Q216" s="13">
        <f>P216*4800/SUM(P3:P252)</f>
        <v>0.639015064780152</v>
      </c>
      <c r="R216" s="13">
        <v>92.75</v>
      </c>
      <c r="S216" s="13">
        <v>25.9347826086957</v>
      </c>
      <c r="T216" s="13">
        <v>47.3333333333333</v>
      </c>
      <c r="U216" s="13">
        <v>997.362318840580</v>
      </c>
      <c r="V216" s="13">
        <v>140.083333333333</v>
      </c>
      <c r="W216" s="13">
        <v>0.974655666890911</v>
      </c>
      <c r="X216" s="13">
        <v>87.1457299153773</v>
      </c>
      <c r="Y216" s="13">
        <f>X216-O216</f>
        <v>2.1457299153773</v>
      </c>
      <c r="Z216" s="13">
        <f>Y216*4800/SUM(Y3:Y252)</f>
        <v>0.726902005627131</v>
      </c>
      <c r="AA216" s="15"/>
      <c r="AB216" s="13">
        <f>_xlfn.XLOOKUP(K216,AF256:AF398,AH256:AH398)</f>
        <v>1</v>
      </c>
    </row>
    <row r="217" ht="20.05" customHeight="1">
      <c r="A217" s="11">
        <v>10</v>
      </c>
      <c r="B217" t="s" s="12">
        <v>341</v>
      </c>
      <c r="C217" s="13">
        <v>87</v>
      </c>
      <c r="D217" t="s" s="14">
        <v>412</v>
      </c>
      <c r="E217" s="13">
        <v>2023</v>
      </c>
      <c r="F217" t="s" s="14">
        <v>29</v>
      </c>
      <c r="G217" s="15"/>
      <c r="H217" s="13">
        <v>160.5</v>
      </c>
      <c r="I217" t="s" s="14">
        <v>413</v>
      </c>
      <c r="J217" t="s" s="14">
        <v>414</v>
      </c>
      <c r="K217" t="s" s="14">
        <f>_xlfn.CONCAT(LEFT(I217,1),". ",J217)</f>
        <v>415</v>
      </c>
      <c r="L217" s="13">
        <v>64</v>
      </c>
      <c r="M217" s="13">
        <v>-23</v>
      </c>
      <c r="N217" s="13">
        <v>92</v>
      </c>
      <c r="O217" s="13">
        <v>85</v>
      </c>
      <c r="P217" s="13">
        <v>2</v>
      </c>
      <c r="Q217" s="13">
        <f>P217*4800/SUM(P3:P252)</f>
        <v>0.639015064780152</v>
      </c>
      <c r="R217" s="13">
        <v>92.75</v>
      </c>
      <c r="S217" s="13">
        <v>25.9347826086957</v>
      </c>
      <c r="T217" s="13">
        <v>47.3333333333333</v>
      </c>
      <c r="U217" s="13">
        <v>997.362318840580</v>
      </c>
      <c r="V217" s="13">
        <v>140.083333333333</v>
      </c>
      <c r="W217" s="13">
        <v>0.974655666890911</v>
      </c>
      <c r="X217" s="13">
        <v>87.1457299153773</v>
      </c>
      <c r="Y217" s="13">
        <f>X217-O217</f>
        <v>2.1457299153773</v>
      </c>
      <c r="Z217" s="13">
        <f>Y217*4800/SUM(Y3:Y252)</f>
        <v>0.726902005627131</v>
      </c>
      <c r="AA217" s="15"/>
      <c r="AB217" s="13">
        <f>_xlfn.XLOOKUP(K217,AF256:AF398,AH256:AH398)</f>
        <v>1</v>
      </c>
    </row>
    <row r="218" ht="8.35" customHeight="1" hidden="1">
      <c r="A218" s="11">
        <v>10</v>
      </c>
      <c r="B218" t="s" s="12">
        <v>341</v>
      </c>
      <c r="C218" s="13">
        <v>85</v>
      </c>
      <c r="D218" t="s" s="14">
        <v>416</v>
      </c>
      <c r="E218" s="13">
        <v>2022</v>
      </c>
      <c r="F218" t="s" s="14">
        <v>29</v>
      </c>
      <c r="G218" s="15"/>
      <c r="H218" s="13">
        <v>161</v>
      </c>
      <c r="I218" t="s" s="14">
        <v>417</v>
      </c>
      <c r="J218" t="s" s="14">
        <v>418</v>
      </c>
      <c r="K218" s="15"/>
      <c r="L218" s="13">
        <v>111</v>
      </c>
      <c r="M218" s="13">
        <v>26</v>
      </c>
      <c r="N218" s="13">
        <v>92</v>
      </c>
      <c r="O218" s="13">
        <v>85</v>
      </c>
      <c r="P218" s="13">
        <v>0</v>
      </c>
      <c r="Q218" s="15"/>
      <c r="R218" s="13">
        <v>92.75</v>
      </c>
      <c r="S218" s="13">
        <v>25.9347826086957</v>
      </c>
      <c r="T218" s="13">
        <v>47.3333333333333</v>
      </c>
      <c r="U218" s="13">
        <v>997.362318840580</v>
      </c>
      <c r="V218" s="13">
        <v>140.083333333333</v>
      </c>
      <c r="W218" s="13">
        <v>0.974655666890911</v>
      </c>
      <c r="X218" s="13">
        <v>85.1964185815954</v>
      </c>
      <c r="Y218" s="13">
        <f>X218-O218</f>
        <v>0.1964185815954</v>
      </c>
      <c r="Z218" s="13">
        <f>Y218*4800/SUM(Y3:Y252)</f>
        <v>0.0665400896361306</v>
      </c>
      <c r="AA218" s="15"/>
      <c r="AB218" s="15"/>
    </row>
    <row r="219" ht="8.35" customHeight="1" hidden="1">
      <c r="A219" s="11">
        <v>0</v>
      </c>
      <c r="B219" t="s" s="12">
        <v>419</v>
      </c>
      <c r="C219" s="15"/>
      <c r="D219" s="13">
        <v>1696</v>
      </c>
      <c r="E219" s="13">
        <v>2022</v>
      </c>
      <c r="F219" t="s" s="14">
        <v>29</v>
      </c>
      <c r="G219" s="13">
        <v>6</v>
      </c>
      <c r="H219" s="13">
        <v>504</v>
      </c>
      <c r="I219" t="s" s="14">
        <v>211</v>
      </c>
      <c r="J219" t="s" s="14">
        <v>208</v>
      </c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3">
        <f>X219-O219</f>
        <v>0</v>
      </c>
      <c r="Z219" s="13">
        <f>Y219*4800/SUM(Y3:Y252)</f>
        <v>0</v>
      </c>
      <c r="AA219" s="15"/>
      <c r="AB219" s="15"/>
    </row>
    <row r="220" ht="8.35" customHeight="1" hidden="1">
      <c r="A220" s="11">
        <v>37</v>
      </c>
      <c r="B220" t="s" s="12">
        <v>420</v>
      </c>
      <c r="C220" s="15"/>
      <c r="D220" s="13">
        <v>3008</v>
      </c>
      <c r="E220" s="13">
        <v>2022</v>
      </c>
      <c r="F220" t="s" s="14">
        <v>29</v>
      </c>
      <c r="G220" s="13">
        <v>7</v>
      </c>
      <c r="H220" s="13">
        <v>416</v>
      </c>
      <c r="I220" t="s" s="14">
        <v>166</v>
      </c>
      <c r="J220" t="s" s="14">
        <v>421</v>
      </c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3">
        <f>X220-O220</f>
        <v>0</v>
      </c>
      <c r="Z220" s="13">
        <f>Y220*4800/SUM(Y3:Y252)</f>
        <v>0</v>
      </c>
      <c r="AA220" s="15"/>
      <c r="AB220" s="15"/>
    </row>
    <row r="221" ht="8.35" customHeight="1" hidden="1">
      <c r="A221" s="11">
        <v>38</v>
      </c>
      <c r="B221" t="s" s="12">
        <v>420</v>
      </c>
      <c r="C221" s="15"/>
      <c r="D221" s="13">
        <v>2650</v>
      </c>
      <c r="E221" s="13">
        <v>2022</v>
      </c>
      <c r="F221" t="s" s="14">
        <v>29</v>
      </c>
      <c r="G221" s="13">
        <v>7</v>
      </c>
      <c r="H221" s="13">
        <v>519.6</v>
      </c>
      <c r="I221" t="s" s="14">
        <v>422</v>
      </c>
      <c r="J221" t="s" s="14">
        <v>423</v>
      </c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3">
        <f>X221-O221</f>
        <v>0</v>
      </c>
      <c r="Z221" s="13">
        <f>Y221*4800/SUM(Y3:Y252)</f>
        <v>0</v>
      </c>
      <c r="AA221" s="15"/>
      <c r="AB221" s="15"/>
    </row>
    <row r="222" ht="8.35" customHeight="1" hidden="1">
      <c r="A222" s="11">
        <v>39</v>
      </c>
      <c r="B222" t="s" s="12">
        <v>420</v>
      </c>
      <c r="C222" s="15"/>
      <c r="D222" s="13">
        <v>2818</v>
      </c>
      <c r="E222" s="13">
        <v>2022</v>
      </c>
      <c r="F222" t="s" s="14">
        <v>29</v>
      </c>
      <c r="G222" s="13">
        <v>9</v>
      </c>
      <c r="H222" s="13">
        <v>531</v>
      </c>
      <c r="I222" t="s" s="14">
        <v>238</v>
      </c>
      <c r="J222" t="s" s="14">
        <v>424</v>
      </c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3">
        <f>X222-O222</f>
        <v>0</v>
      </c>
      <c r="Z222" s="13">
        <f>Y222*4800/SUM(Y3:Y252)</f>
        <v>0</v>
      </c>
      <c r="AA222" s="15"/>
      <c r="AB222" s="15"/>
    </row>
    <row r="223" ht="8.35" customHeight="1" hidden="1">
      <c r="A223" s="11">
        <v>40</v>
      </c>
      <c r="B223" t="s" s="12">
        <v>420</v>
      </c>
      <c r="C223" s="15"/>
      <c r="D223" s="13">
        <v>7296</v>
      </c>
      <c r="E223" s="13">
        <v>2022</v>
      </c>
      <c r="F223" t="s" s="14">
        <v>29</v>
      </c>
      <c r="G223" s="13">
        <v>3</v>
      </c>
      <c r="H223" s="13">
        <v>999</v>
      </c>
      <c r="I223" t="s" s="14">
        <v>211</v>
      </c>
      <c r="J223" t="s" s="14">
        <v>425</v>
      </c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3">
        <f>X223-O223</f>
        <v>0</v>
      </c>
      <c r="Z223" s="13">
        <f>Y223*4800/SUM(Y3:Y252)</f>
        <v>0</v>
      </c>
      <c r="AA223" s="15"/>
      <c r="AB223" s="15"/>
    </row>
    <row r="224" ht="20.05" customHeight="1">
      <c r="A224" s="11">
        <v>0</v>
      </c>
      <c r="B224" t="s" s="12">
        <v>419</v>
      </c>
      <c r="C224" s="15"/>
      <c r="D224" s="13">
        <v>1696</v>
      </c>
      <c r="E224" s="13">
        <v>2023</v>
      </c>
      <c r="F224" t="s" s="14">
        <v>29</v>
      </c>
      <c r="G224" s="13">
        <v>6</v>
      </c>
      <c r="H224" s="13">
        <v>999</v>
      </c>
      <c r="I224" t="s" s="14">
        <v>211</v>
      </c>
      <c r="J224" t="s" s="14">
        <v>208</v>
      </c>
      <c r="K224" t="s" s="14">
        <f>_xlfn.CONCAT(LEFT(I224,1),". ",J224)</f>
        <v>426</v>
      </c>
      <c r="L224" s="15"/>
      <c r="M224" s="15"/>
      <c r="N224" s="15"/>
      <c r="O224" s="15"/>
      <c r="P224" s="15"/>
      <c r="Q224" s="13">
        <f>P224*4800/SUM(P3:P252)</f>
        <v>0</v>
      </c>
      <c r="R224" s="15"/>
      <c r="S224" s="15"/>
      <c r="T224" s="15"/>
      <c r="U224" s="15"/>
      <c r="V224" s="15"/>
      <c r="W224" s="15"/>
      <c r="X224" s="15"/>
      <c r="Y224" s="13">
        <f>X224-O224</f>
        <v>0</v>
      </c>
      <c r="Z224" s="13">
        <f>Y224*4800/SUM(Y3:Y252)</f>
        <v>0</v>
      </c>
      <c r="AA224" s="15"/>
      <c r="AB224" s="15">
        <f>_xlfn.XLOOKUP(K224,AF256:AF398,AH256:AH398)</f>
      </c>
    </row>
    <row r="225" ht="20.05" customHeight="1">
      <c r="A225" s="11">
        <v>37</v>
      </c>
      <c r="B225" t="s" s="12">
        <v>420</v>
      </c>
      <c r="C225" s="15"/>
      <c r="D225" s="13">
        <v>7296</v>
      </c>
      <c r="E225" s="13">
        <v>2023</v>
      </c>
      <c r="F225" t="s" s="14">
        <v>29</v>
      </c>
      <c r="G225" s="13">
        <v>3</v>
      </c>
      <c r="H225" s="13">
        <v>999</v>
      </c>
      <c r="I225" t="s" s="14">
        <v>211</v>
      </c>
      <c r="J225" t="s" s="14">
        <v>425</v>
      </c>
      <c r="K225" t="s" s="14">
        <f>_xlfn.CONCAT(LEFT(I225,1),". ",J225)</f>
        <v>427</v>
      </c>
      <c r="L225" s="15"/>
      <c r="M225" s="15"/>
      <c r="N225" s="15"/>
      <c r="O225" s="15"/>
      <c r="P225" s="15"/>
      <c r="Q225" s="13">
        <f>P225*4800/SUM(P3:P252)</f>
        <v>0</v>
      </c>
      <c r="R225" s="15"/>
      <c r="S225" s="15"/>
      <c r="T225" s="15"/>
      <c r="U225" s="15"/>
      <c r="V225" s="15"/>
      <c r="W225" s="15"/>
      <c r="X225" s="15"/>
      <c r="Y225" s="13">
        <f>X225-O225</f>
        <v>0</v>
      </c>
      <c r="Z225" s="13">
        <f>Y225*4800/SUM(Y3:Y252)</f>
        <v>0</v>
      </c>
      <c r="AA225" s="15"/>
      <c r="AB225" s="15">
        <f>_xlfn.XLOOKUP(K225,AF256:AF398,AH256:AH398)</f>
      </c>
    </row>
    <row r="226" ht="20.05" customHeight="1">
      <c r="A226" s="11">
        <v>38</v>
      </c>
      <c r="B226" t="s" s="12">
        <v>420</v>
      </c>
      <c r="C226" s="15"/>
      <c r="D226" s="13">
        <v>3008</v>
      </c>
      <c r="E226" s="13">
        <v>2023</v>
      </c>
      <c r="F226" t="s" s="14">
        <v>29</v>
      </c>
      <c r="G226" s="13">
        <v>7</v>
      </c>
      <c r="H226" s="13">
        <v>999</v>
      </c>
      <c r="I226" t="s" s="14">
        <v>166</v>
      </c>
      <c r="J226" t="s" s="14">
        <v>421</v>
      </c>
      <c r="K226" t="s" s="14">
        <f>_xlfn.CONCAT(LEFT(I226,1),". ",J226)</f>
        <v>428</v>
      </c>
      <c r="L226" s="15"/>
      <c r="M226" s="15"/>
      <c r="N226" s="15"/>
      <c r="O226" s="15"/>
      <c r="P226" s="15"/>
      <c r="Q226" s="13">
        <f>P226*4800/SUM(P3:P252)</f>
        <v>0</v>
      </c>
      <c r="R226" s="15"/>
      <c r="S226" s="15"/>
      <c r="T226" s="15"/>
      <c r="U226" s="15"/>
      <c r="V226" s="15"/>
      <c r="W226" s="15"/>
      <c r="X226" s="15"/>
      <c r="Y226" s="13">
        <f>X226-O226</f>
        <v>0</v>
      </c>
      <c r="Z226" s="13">
        <f>Y226*4800/SUM(Y3:Y252)</f>
        <v>0</v>
      </c>
      <c r="AA226" s="15"/>
      <c r="AB226" s="15">
        <f>_xlfn.XLOOKUP(K226,AF256:AF398,AH256:AH398)</f>
      </c>
    </row>
    <row r="227" ht="20.05" customHeight="1">
      <c r="A227" s="11">
        <v>39</v>
      </c>
      <c r="B227" t="s" s="12">
        <v>420</v>
      </c>
      <c r="C227" s="15"/>
      <c r="D227" s="13">
        <v>2818</v>
      </c>
      <c r="E227" s="13">
        <v>2023</v>
      </c>
      <c r="F227" t="s" s="14">
        <v>29</v>
      </c>
      <c r="G227" s="13">
        <v>9</v>
      </c>
      <c r="H227" s="13">
        <v>999</v>
      </c>
      <c r="I227" t="s" s="14">
        <v>238</v>
      </c>
      <c r="J227" t="s" s="14">
        <v>424</v>
      </c>
      <c r="K227" t="s" s="14">
        <f>_xlfn.CONCAT(LEFT(I227,1),". ",J227)</f>
        <v>429</v>
      </c>
      <c r="L227" s="15"/>
      <c r="M227" s="15"/>
      <c r="N227" s="15"/>
      <c r="O227" s="15"/>
      <c r="P227" s="15"/>
      <c r="Q227" s="13">
        <f>P227*4800/SUM(P3:P252)</f>
        <v>0</v>
      </c>
      <c r="R227" s="15"/>
      <c r="S227" s="15"/>
      <c r="T227" s="15"/>
      <c r="U227" s="15"/>
      <c r="V227" s="15"/>
      <c r="W227" s="15"/>
      <c r="X227" s="15"/>
      <c r="Y227" s="13">
        <f>X227-O227</f>
        <v>0</v>
      </c>
      <c r="Z227" s="13">
        <f>Y227*4800/SUM(Y3:Y252)</f>
        <v>0</v>
      </c>
      <c r="AA227" s="15"/>
      <c r="AB227" s="15">
        <f>_xlfn.XLOOKUP(K227,AF256:AF398,AH256:AH398)</f>
      </c>
    </row>
    <row r="228" ht="20.05" customHeight="1">
      <c r="A228" s="11">
        <v>40</v>
      </c>
      <c r="B228" t="s" s="12">
        <v>420</v>
      </c>
      <c r="C228" s="15"/>
      <c r="D228" s="13">
        <v>2650</v>
      </c>
      <c r="E228" s="13">
        <v>2023</v>
      </c>
      <c r="F228" t="s" s="14">
        <v>29</v>
      </c>
      <c r="G228" s="13">
        <v>7</v>
      </c>
      <c r="H228" s="13">
        <v>999</v>
      </c>
      <c r="I228" t="s" s="14">
        <v>422</v>
      </c>
      <c r="J228" t="s" s="14">
        <v>423</v>
      </c>
      <c r="K228" t="s" s="14">
        <f>_xlfn.CONCAT(LEFT(I228,1),". ",J228)</f>
        <v>430</v>
      </c>
      <c r="L228" s="15"/>
      <c r="M228" s="15"/>
      <c r="N228" s="15"/>
      <c r="O228" s="15"/>
      <c r="P228" s="15"/>
      <c r="Q228" s="13">
        <f>P228*4800/SUM(P3:P252)</f>
        <v>0</v>
      </c>
      <c r="R228" s="15"/>
      <c r="S228" s="15"/>
      <c r="T228" s="15"/>
      <c r="U228" s="15"/>
      <c r="V228" s="15"/>
      <c r="W228" s="15"/>
      <c r="X228" s="15"/>
      <c r="Y228" s="13">
        <f>X228-O228</f>
        <v>0</v>
      </c>
      <c r="Z228" s="13">
        <f>Y228*4800/SUM(Y3:Y252)</f>
        <v>0</v>
      </c>
      <c r="AA228" s="15"/>
      <c r="AB228" s="15">
        <f>_xlfn.XLOOKUP(K228,AF256:AF398,AH256:AH398)</f>
      </c>
    </row>
    <row r="229" ht="8.35" customHeight="1" hidden="1">
      <c r="A229" s="11">
        <v>14</v>
      </c>
      <c r="B229" t="s" s="12">
        <v>338</v>
      </c>
      <c r="C229" s="15"/>
      <c r="D229" s="13">
        <v>3353</v>
      </c>
      <c r="E229" s="13">
        <v>2022</v>
      </c>
      <c r="F229" t="s" s="14">
        <v>29</v>
      </c>
      <c r="G229" s="13">
        <v>6</v>
      </c>
      <c r="H229" s="13">
        <v>304</v>
      </c>
      <c r="I229" t="s" s="14">
        <v>431</v>
      </c>
      <c r="J229" t="s" s="14">
        <v>432</v>
      </c>
      <c r="K229" s="15"/>
      <c r="L229" s="15"/>
      <c r="M229" s="15"/>
      <c r="N229" s="13">
        <v>8.300000000000001</v>
      </c>
      <c r="O229" s="13">
        <v>3</v>
      </c>
      <c r="P229" s="15"/>
      <c r="Q229" s="15"/>
      <c r="R229" s="13">
        <v>14.52</v>
      </c>
      <c r="S229" s="13">
        <v>237.647</v>
      </c>
      <c r="T229" s="13">
        <v>2.74</v>
      </c>
      <c r="U229" s="13">
        <v>145.693</v>
      </c>
      <c r="V229" s="13">
        <v>13.2375</v>
      </c>
      <c r="W229" s="13">
        <v>0.380062085876767</v>
      </c>
      <c r="X229" s="15"/>
      <c r="Y229" s="13">
        <f>X229-O229</f>
        <v>-3</v>
      </c>
      <c r="Z229" s="13">
        <f>Y229*4800/SUM(Y3:Y252)</f>
        <v>-1.01630032803916</v>
      </c>
      <c r="AA229" s="15"/>
      <c r="AB229" s="15"/>
    </row>
    <row r="230" ht="8.35" customHeight="1" hidden="1">
      <c r="A230" s="11">
        <v>15</v>
      </c>
      <c r="B230" t="s" s="12">
        <v>338</v>
      </c>
      <c r="C230" s="15"/>
      <c r="D230" s="13">
        <v>5560</v>
      </c>
      <c r="E230" s="13">
        <v>2022</v>
      </c>
      <c r="F230" t="s" s="14">
        <v>29</v>
      </c>
      <c r="G230" s="13">
        <v>4</v>
      </c>
      <c r="H230" s="13">
        <v>319</v>
      </c>
      <c r="I230" t="s" s="14">
        <v>433</v>
      </c>
      <c r="J230" t="s" s="14">
        <v>98</v>
      </c>
      <c r="K230" s="15"/>
      <c r="L230" s="15"/>
      <c r="M230" s="15"/>
      <c r="N230" s="13">
        <v>8.300000000000001</v>
      </c>
      <c r="O230" s="13">
        <v>3</v>
      </c>
      <c r="P230" s="15"/>
      <c r="Q230" s="15"/>
      <c r="R230" s="13">
        <v>14.52</v>
      </c>
      <c r="S230" s="13">
        <v>237.647</v>
      </c>
      <c r="T230" s="13">
        <v>2.74</v>
      </c>
      <c r="U230" s="13">
        <v>145.693</v>
      </c>
      <c r="V230" s="13">
        <v>13.2375</v>
      </c>
      <c r="W230" s="13">
        <v>0.380062085876767</v>
      </c>
      <c r="X230" s="15"/>
      <c r="Y230" s="13">
        <f>X230-O230</f>
        <v>-3</v>
      </c>
      <c r="Z230" s="13">
        <f>Y230*4800/SUM(Y3:Y252)</f>
        <v>-1.01630032803916</v>
      </c>
      <c r="AA230" s="15"/>
      <c r="AB230" s="15"/>
    </row>
    <row r="231" ht="8.35" customHeight="1" hidden="1">
      <c r="A231" s="11">
        <v>17</v>
      </c>
      <c r="B231" t="s" s="12">
        <v>338</v>
      </c>
      <c r="C231" s="15"/>
      <c r="D231" s="13">
        <v>5586</v>
      </c>
      <c r="E231" s="13">
        <v>2022</v>
      </c>
      <c r="F231" t="s" s="14">
        <v>29</v>
      </c>
      <c r="G231" s="13">
        <v>4</v>
      </c>
      <c r="H231" s="13">
        <v>395.7</v>
      </c>
      <c r="I231" t="s" s="14">
        <v>38</v>
      </c>
      <c r="J231" t="s" s="14">
        <v>434</v>
      </c>
      <c r="K231" s="15"/>
      <c r="L231" s="15"/>
      <c r="M231" s="15"/>
      <c r="N231" s="13">
        <v>8.300000000000001</v>
      </c>
      <c r="O231" s="13">
        <v>3</v>
      </c>
      <c r="P231" s="15"/>
      <c r="Q231" s="15"/>
      <c r="R231" s="13">
        <v>14.52</v>
      </c>
      <c r="S231" s="13">
        <v>237.647</v>
      </c>
      <c r="T231" s="13">
        <v>2.74</v>
      </c>
      <c r="U231" s="13">
        <v>145.693</v>
      </c>
      <c r="V231" s="13">
        <v>13.2375</v>
      </c>
      <c r="W231" s="13">
        <v>0.380062085876767</v>
      </c>
      <c r="X231" s="15"/>
      <c r="Y231" s="13">
        <f>X231-O231</f>
        <v>-3</v>
      </c>
      <c r="Z231" s="13">
        <f>Y231*4800/SUM(Y3:Y252)</f>
        <v>-1.01630032803916</v>
      </c>
      <c r="AA231" s="15"/>
      <c r="AB231" s="15"/>
    </row>
    <row r="232" ht="8.35" customHeight="1" hidden="1">
      <c r="A232" s="11">
        <v>19</v>
      </c>
      <c r="B232" t="s" s="12">
        <v>338</v>
      </c>
      <c r="C232" s="15"/>
      <c r="D232" s="13">
        <v>982</v>
      </c>
      <c r="E232" s="13">
        <v>2022</v>
      </c>
      <c r="F232" t="s" s="14">
        <v>29</v>
      </c>
      <c r="G232" s="13">
        <v>11</v>
      </c>
      <c r="H232" s="13">
        <v>552.7</v>
      </c>
      <c r="I232" t="s" s="14">
        <v>435</v>
      </c>
      <c r="J232" t="s" s="14">
        <v>436</v>
      </c>
      <c r="K232" s="15"/>
      <c r="L232" s="15"/>
      <c r="M232" s="15"/>
      <c r="N232" s="13">
        <v>8.300000000000001</v>
      </c>
      <c r="O232" s="13">
        <v>3</v>
      </c>
      <c r="P232" s="15"/>
      <c r="Q232" s="15"/>
      <c r="R232" s="13">
        <v>14.52</v>
      </c>
      <c r="S232" s="13">
        <v>237.647</v>
      </c>
      <c r="T232" s="13">
        <v>2.74</v>
      </c>
      <c r="U232" s="13">
        <v>145.693</v>
      </c>
      <c r="V232" s="13">
        <v>13.2375</v>
      </c>
      <c r="W232" s="13">
        <v>0.380062085876767</v>
      </c>
      <c r="X232" s="15"/>
      <c r="Y232" s="13">
        <f>X232-O232</f>
        <v>-3</v>
      </c>
      <c r="Z232" s="13">
        <f>Y232*4800/SUM(Y3:Y252)</f>
        <v>-1.01630032803916</v>
      </c>
      <c r="AA232" s="15"/>
      <c r="AB232" s="15"/>
    </row>
    <row r="233" ht="8.35" customHeight="1" hidden="1">
      <c r="A233" s="11">
        <v>20</v>
      </c>
      <c r="B233" t="s" s="12">
        <v>338</v>
      </c>
      <c r="C233" s="15"/>
      <c r="D233" s="13">
        <v>1303</v>
      </c>
      <c r="E233" s="13">
        <v>2022</v>
      </c>
      <c r="F233" t="s" s="14">
        <v>29</v>
      </c>
      <c r="G233" s="13">
        <v>11</v>
      </c>
      <c r="H233" s="13">
        <v>564.3</v>
      </c>
      <c r="I233" t="s" s="14">
        <v>95</v>
      </c>
      <c r="J233" t="s" s="14">
        <v>437</v>
      </c>
      <c r="K233" s="15"/>
      <c r="L233" s="15"/>
      <c r="M233" s="15"/>
      <c r="N233" s="13">
        <v>8.300000000000001</v>
      </c>
      <c r="O233" s="13">
        <v>3</v>
      </c>
      <c r="P233" s="15"/>
      <c r="Q233" s="15"/>
      <c r="R233" s="13">
        <v>14.52</v>
      </c>
      <c r="S233" s="13">
        <v>237.647</v>
      </c>
      <c r="T233" s="13">
        <v>2.74</v>
      </c>
      <c r="U233" s="13">
        <v>145.693</v>
      </c>
      <c r="V233" s="13">
        <v>13.2375</v>
      </c>
      <c r="W233" s="13">
        <v>0.380062085876767</v>
      </c>
      <c r="X233" s="15"/>
      <c r="Y233" s="13">
        <f>X233-O233</f>
        <v>-3</v>
      </c>
      <c r="Z233" s="13">
        <f>Y233*4800/SUM(Y3:Y252)</f>
        <v>-1.01630032803916</v>
      </c>
      <c r="AA233" s="15"/>
      <c r="AB233" s="15"/>
    </row>
    <row r="234" ht="8.35" customHeight="1" hidden="1">
      <c r="A234" s="11">
        <v>21</v>
      </c>
      <c r="B234" t="s" s="12">
        <v>338</v>
      </c>
      <c r="C234" s="15"/>
      <c r="D234" s="13">
        <v>4731</v>
      </c>
      <c r="E234" s="13">
        <v>2022</v>
      </c>
      <c r="F234" t="s" s="14">
        <v>29</v>
      </c>
      <c r="G234" s="13">
        <v>5</v>
      </c>
      <c r="H234" s="13">
        <v>605.2</v>
      </c>
      <c r="I234" t="s" s="14">
        <v>42</v>
      </c>
      <c r="J234" t="s" s="14">
        <v>438</v>
      </c>
      <c r="K234" s="15"/>
      <c r="L234" s="15"/>
      <c r="M234" s="15"/>
      <c r="N234" s="13">
        <v>8.300000000000001</v>
      </c>
      <c r="O234" s="13">
        <v>3</v>
      </c>
      <c r="P234" s="15"/>
      <c r="Q234" s="15"/>
      <c r="R234" s="13">
        <v>14.52</v>
      </c>
      <c r="S234" s="13">
        <v>237.647</v>
      </c>
      <c r="T234" s="13">
        <v>2.74</v>
      </c>
      <c r="U234" s="13">
        <v>145.693</v>
      </c>
      <c r="V234" s="13">
        <v>13.2375</v>
      </c>
      <c r="W234" s="13">
        <v>0.380062085876767</v>
      </c>
      <c r="X234" s="15"/>
      <c r="Y234" s="13">
        <f>X234-O234</f>
        <v>-3</v>
      </c>
      <c r="Z234" s="13">
        <f>Y234*4800/SUM(Y3:Y252)</f>
        <v>-1.01630032803916</v>
      </c>
      <c r="AA234" s="15"/>
      <c r="AB234" s="15"/>
    </row>
    <row r="235" ht="8.35" customHeight="1" hidden="1">
      <c r="A235" s="11">
        <v>23</v>
      </c>
      <c r="B235" t="s" s="12">
        <v>338</v>
      </c>
      <c r="C235" s="15"/>
      <c r="D235" s="13">
        <v>1305</v>
      </c>
      <c r="E235" s="13">
        <v>2022</v>
      </c>
      <c r="F235" t="s" s="14">
        <v>29</v>
      </c>
      <c r="G235" s="13">
        <v>11</v>
      </c>
      <c r="H235" s="13">
        <v>625.3</v>
      </c>
      <c r="I235" t="s" s="14">
        <v>100</v>
      </c>
      <c r="J235" t="s" s="14">
        <v>439</v>
      </c>
      <c r="K235" s="15"/>
      <c r="L235" s="15"/>
      <c r="M235" s="15"/>
      <c r="N235" s="13">
        <v>8.300000000000001</v>
      </c>
      <c r="O235" s="13">
        <v>3</v>
      </c>
      <c r="P235" s="15"/>
      <c r="Q235" s="15"/>
      <c r="R235" s="13">
        <v>14.52</v>
      </c>
      <c r="S235" s="13">
        <v>237.647</v>
      </c>
      <c r="T235" s="13">
        <v>2.74</v>
      </c>
      <c r="U235" s="13">
        <v>145.693</v>
      </c>
      <c r="V235" s="13">
        <v>13.2375</v>
      </c>
      <c r="W235" s="13">
        <v>0.380062085876767</v>
      </c>
      <c r="X235" s="15"/>
      <c r="Y235" s="13">
        <f>X235-O235</f>
        <v>-3</v>
      </c>
      <c r="Z235" s="13">
        <f>Y235*4800/SUM(Y3:Y252)</f>
        <v>-1.01630032803916</v>
      </c>
      <c r="AA235" s="15"/>
      <c r="AB235" s="15"/>
    </row>
    <row r="236" ht="8.35" customHeight="1" hidden="1">
      <c r="A236" s="11">
        <v>24</v>
      </c>
      <c r="B236" t="s" s="12">
        <v>338</v>
      </c>
      <c r="C236" s="15"/>
      <c r="D236" s="13">
        <v>7258</v>
      </c>
      <c r="E236" s="13">
        <v>2022</v>
      </c>
      <c r="F236" t="s" s="14">
        <v>29</v>
      </c>
      <c r="G236" s="13">
        <v>2</v>
      </c>
      <c r="H236" s="13">
        <v>660</v>
      </c>
      <c r="I236" t="s" s="14">
        <v>440</v>
      </c>
      <c r="J236" t="s" s="14">
        <v>441</v>
      </c>
      <c r="K236" s="15"/>
      <c r="L236" s="15"/>
      <c r="M236" s="15"/>
      <c r="N236" s="13">
        <v>8.300000000000001</v>
      </c>
      <c r="O236" s="13">
        <v>3</v>
      </c>
      <c r="P236" s="15"/>
      <c r="Q236" s="15"/>
      <c r="R236" s="13">
        <v>14.52</v>
      </c>
      <c r="S236" s="13">
        <v>237.647</v>
      </c>
      <c r="T236" s="13">
        <v>2.74</v>
      </c>
      <c r="U236" s="13">
        <v>145.693</v>
      </c>
      <c r="V236" s="13">
        <v>13.2375</v>
      </c>
      <c r="W236" s="13">
        <v>0.380062085876767</v>
      </c>
      <c r="X236" s="15"/>
      <c r="Y236" s="13">
        <f>X236-O236</f>
        <v>-3</v>
      </c>
      <c r="Z236" s="13">
        <f>Y236*4800/SUM(Y3:Y252)</f>
        <v>-1.01630032803916</v>
      </c>
      <c r="AA236" s="15"/>
      <c r="AB236" s="15"/>
    </row>
    <row r="237" ht="20.05" customHeight="1">
      <c r="A237" s="11">
        <v>13</v>
      </c>
      <c r="B237" t="s" s="12">
        <v>338</v>
      </c>
      <c r="C237" s="15"/>
      <c r="D237" s="13">
        <v>11260</v>
      </c>
      <c r="E237" s="13">
        <v>2023</v>
      </c>
      <c r="F237" t="s" s="14">
        <v>29</v>
      </c>
      <c r="G237" s="13">
        <v>1</v>
      </c>
      <c r="H237" s="13">
        <v>257</v>
      </c>
      <c r="I237" t="s" s="14">
        <v>442</v>
      </c>
      <c r="J237" t="s" s="14">
        <v>443</v>
      </c>
      <c r="K237" t="s" s="14">
        <f>_xlfn.CONCAT(LEFT(I237,1),". ",J237)</f>
        <v>444</v>
      </c>
      <c r="L237" s="15"/>
      <c r="M237" s="15"/>
      <c r="N237" s="13">
        <v>8.300000000000001</v>
      </c>
      <c r="O237" s="13">
        <v>3</v>
      </c>
      <c r="P237" s="15"/>
      <c r="Q237" s="13">
        <f>P237*4800/SUM(P3:P252)</f>
        <v>0</v>
      </c>
      <c r="R237" s="13">
        <v>14.52</v>
      </c>
      <c r="S237" s="13">
        <v>237.647</v>
      </c>
      <c r="T237" s="13">
        <v>2.74</v>
      </c>
      <c r="U237" s="13">
        <v>145.693</v>
      </c>
      <c r="V237" s="13">
        <v>13.2375</v>
      </c>
      <c r="W237" s="13">
        <v>0.380062085876767</v>
      </c>
      <c r="X237" s="15"/>
      <c r="Y237" s="13">
        <f>X237-O237</f>
        <v>-3</v>
      </c>
      <c r="Z237" s="13">
        <f>Y237*4800/SUM(Y3:Y252)</f>
        <v>-1.01630032803916</v>
      </c>
      <c r="AA237" s="15"/>
      <c r="AB237" s="15">
        <f>_xlfn.XLOOKUP(K237,AF256:AF398,AH256:AH398)</f>
      </c>
    </row>
    <row r="238" ht="20.05" customHeight="1">
      <c r="A238" s="11">
        <v>14</v>
      </c>
      <c r="B238" t="s" s="12">
        <v>338</v>
      </c>
      <c r="C238" s="15"/>
      <c r="D238" s="13">
        <v>4673</v>
      </c>
      <c r="E238" s="13">
        <v>2023</v>
      </c>
      <c r="F238" t="s" s="14">
        <v>29</v>
      </c>
      <c r="G238" s="13">
        <v>5</v>
      </c>
      <c r="H238" s="13">
        <v>337</v>
      </c>
      <c r="I238" t="s" s="14">
        <v>445</v>
      </c>
      <c r="J238" t="s" s="14">
        <v>125</v>
      </c>
      <c r="K238" t="s" s="14">
        <f>_xlfn.CONCAT(LEFT(I238,1),". ",J238)</f>
        <v>126</v>
      </c>
      <c r="L238" s="15"/>
      <c r="M238" s="15"/>
      <c r="N238" s="13">
        <v>8.300000000000001</v>
      </c>
      <c r="O238" s="13">
        <v>3</v>
      </c>
      <c r="P238" s="15"/>
      <c r="Q238" s="13">
        <f>P238*4800/SUM(P3:P252)</f>
        <v>0</v>
      </c>
      <c r="R238" s="13">
        <v>14.52</v>
      </c>
      <c r="S238" s="13">
        <v>237.647</v>
      </c>
      <c r="T238" s="13">
        <v>2.74</v>
      </c>
      <c r="U238" s="13">
        <v>145.693</v>
      </c>
      <c r="V238" s="13">
        <v>13.2375</v>
      </c>
      <c r="W238" s="13">
        <v>0.380062085876767</v>
      </c>
      <c r="X238" s="15"/>
      <c r="Y238" s="13">
        <f>X238-O238</f>
        <v>-3</v>
      </c>
      <c r="Z238" s="13">
        <f>Y238*4800/SUM(Y3:Y252)</f>
        <v>-1.01630032803916</v>
      </c>
      <c r="AA238" s="15"/>
      <c r="AB238" s="13">
        <f>_xlfn.XLOOKUP(K238,AF256:AF398,AH256:AH398)</f>
        <v>40</v>
      </c>
    </row>
    <row r="239" ht="20.05" customHeight="1">
      <c r="A239" s="11">
        <v>15</v>
      </c>
      <c r="B239" t="s" s="12">
        <v>338</v>
      </c>
      <c r="C239" s="15"/>
      <c r="D239" s="13">
        <v>11209</v>
      </c>
      <c r="E239" s="13">
        <v>2023</v>
      </c>
      <c r="F239" t="s" s="14">
        <v>29</v>
      </c>
      <c r="G239" s="13">
        <v>1</v>
      </c>
      <c r="H239" s="13">
        <v>362.8</v>
      </c>
      <c r="I239" t="s" s="14">
        <v>38</v>
      </c>
      <c r="J239" t="s" s="14">
        <v>446</v>
      </c>
      <c r="K239" t="s" s="14">
        <f>_xlfn.CONCAT(LEFT(I239,1),". ",J239)</f>
        <v>447</v>
      </c>
      <c r="L239" s="15"/>
      <c r="M239" s="15"/>
      <c r="N239" s="13">
        <v>8.300000000000001</v>
      </c>
      <c r="O239" s="13">
        <v>3</v>
      </c>
      <c r="P239" s="15"/>
      <c r="Q239" s="13">
        <f>P239*4800/SUM(P3:P252)</f>
        <v>0</v>
      </c>
      <c r="R239" s="13">
        <v>14.52</v>
      </c>
      <c r="S239" s="13">
        <v>237.647</v>
      </c>
      <c r="T239" s="13">
        <v>2.74</v>
      </c>
      <c r="U239" s="13">
        <v>145.693</v>
      </c>
      <c r="V239" s="13">
        <v>13.2375</v>
      </c>
      <c r="W239" s="13">
        <v>0.380062085876767</v>
      </c>
      <c r="X239" s="15"/>
      <c r="Y239" s="13">
        <f>X239-O239</f>
        <v>-3</v>
      </c>
      <c r="Z239" s="13">
        <f>Y239*4800/SUM(Y3:Y252)</f>
        <v>-1.01630032803916</v>
      </c>
      <c r="AA239" s="15"/>
      <c r="AB239" s="15">
        <f>_xlfn.XLOOKUP(K239,AF256:AF398,AH256:AH398)</f>
      </c>
    </row>
    <row r="240" ht="20.05" customHeight="1">
      <c r="A240" s="11">
        <v>16</v>
      </c>
      <c r="B240" t="s" s="12">
        <v>338</v>
      </c>
      <c r="C240" s="15"/>
      <c r="D240" s="13">
        <v>982</v>
      </c>
      <c r="E240" s="13">
        <v>2023</v>
      </c>
      <c r="F240" t="s" s="14">
        <v>29</v>
      </c>
      <c r="G240" s="13">
        <v>11</v>
      </c>
      <c r="H240" s="13">
        <v>391.2</v>
      </c>
      <c r="I240" t="s" s="14">
        <v>435</v>
      </c>
      <c r="J240" t="s" s="14">
        <v>436</v>
      </c>
      <c r="K240" t="s" s="14">
        <f>_xlfn.CONCAT(LEFT(I240,1),". ",J240)</f>
        <v>448</v>
      </c>
      <c r="L240" s="15"/>
      <c r="M240" s="15"/>
      <c r="N240" s="13">
        <v>8.300000000000001</v>
      </c>
      <c r="O240" s="13">
        <v>3</v>
      </c>
      <c r="P240" s="15"/>
      <c r="Q240" s="13">
        <f>P240*4800/SUM(P3:P252)</f>
        <v>0</v>
      </c>
      <c r="R240" s="13">
        <v>14.52</v>
      </c>
      <c r="S240" s="13">
        <v>237.647</v>
      </c>
      <c r="T240" s="13">
        <v>2.74</v>
      </c>
      <c r="U240" s="13">
        <v>145.693</v>
      </c>
      <c r="V240" s="13">
        <v>13.2375</v>
      </c>
      <c r="W240" s="13">
        <v>0.380062085876767</v>
      </c>
      <c r="X240" s="15"/>
      <c r="Y240" s="13">
        <f>X240-O240</f>
        <v>-3</v>
      </c>
      <c r="Z240" s="13">
        <f>Y240*4800/SUM(Y3:Y252)</f>
        <v>-1.01630032803916</v>
      </c>
      <c r="AA240" s="15"/>
      <c r="AB240" s="15">
        <f>_xlfn.XLOOKUP(K240,AF256:AF398,AH256:AH398)</f>
      </c>
    </row>
    <row r="241" ht="20.05" customHeight="1">
      <c r="A241" s="11">
        <v>17</v>
      </c>
      <c r="B241" t="s" s="12">
        <v>338</v>
      </c>
      <c r="C241" s="15"/>
      <c r="D241" s="13">
        <v>11174</v>
      </c>
      <c r="E241" s="13">
        <v>2023</v>
      </c>
      <c r="F241" t="s" s="14">
        <v>29</v>
      </c>
      <c r="G241" s="13">
        <v>1</v>
      </c>
      <c r="H241" s="13">
        <v>431.6</v>
      </c>
      <c r="I241" t="s" s="14">
        <v>449</v>
      </c>
      <c r="J241" t="s" s="14">
        <v>450</v>
      </c>
      <c r="K241" t="s" s="14">
        <f>_xlfn.CONCAT(LEFT(I241,1),". ",J241)</f>
        <v>451</v>
      </c>
      <c r="L241" s="15"/>
      <c r="M241" s="15"/>
      <c r="N241" s="13">
        <v>8.300000000000001</v>
      </c>
      <c r="O241" s="13">
        <v>3</v>
      </c>
      <c r="P241" s="15"/>
      <c r="Q241" s="13">
        <f>P241*4800/SUM(P3:P252)</f>
        <v>0</v>
      </c>
      <c r="R241" s="13">
        <v>14.52</v>
      </c>
      <c r="S241" s="13">
        <v>237.647</v>
      </c>
      <c r="T241" s="13">
        <v>2.74</v>
      </c>
      <c r="U241" s="13">
        <v>145.693</v>
      </c>
      <c r="V241" s="13">
        <v>13.2375</v>
      </c>
      <c r="W241" s="13">
        <v>0.380062085876767</v>
      </c>
      <c r="X241" s="15"/>
      <c r="Y241" s="13">
        <f>X241-O241</f>
        <v>-3</v>
      </c>
      <c r="Z241" s="13">
        <f>Y241*4800/SUM(Y3:Y252)</f>
        <v>-1.01630032803916</v>
      </c>
      <c r="AA241" s="15"/>
      <c r="AB241" s="15">
        <f>_xlfn.XLOOKUP(K241,AF256:AF398,AH256:AH398)</f>
      </c>
    </row>
    <row r="242" ht="20.05" customHeight="1">
      <c r="A242" s="11">
        <v>18</v>
      </c>
      <c r="B242" t="s" s="12">
        <v>338</v>
      </c>
      <c r="C242" s="15"/>
      <c r="D242" s="13">
        <v>1693</v>
      </c>
      <c r="E242" s="13">
        <v>2023</v>
      </c>
      <c r="F242" t="s" s="14">
        <v>29</v>
      </c>
      <c r="G242" s="13">
        <v>9</v>
      </c>
      <c r="H242" s="13">
        <v>548.5</v>
      </c>
      <c r="I242" t="s" s="14">
        <v>321</v>
      </c>
      <c r="J242" t="s" s="14">
        <v>452</v>
      </c>
      <c r="K242" t="s" s="14">
        <f>_xlfn.CONCAT(LEFT(I242,1),". ",J242)</f>
        <v>453</v>
      </c>
      <c r="L242" s="15"/>
      <c r="M242" s="15"/>
      <c r="N242" s="13">
        <v>8.300000000000001</v>
      </c>
      <c r="O242" s="13">
        <v>3</v>
      </c>
      <c r="P242" s="15"/>
      <c r="Q242" s="13">
        <f>P242*4800/SUM(P3:P252)</f>
        <v>0</v>
      </c>
      <c r="R242" s="13">
        <v>14.52</v>
      </c>
      <c r="S242" s="13">
        <v>237.647</v>
      </c>
      <c r="T242" s="13">
        <v>2.74</v>
      </c>
      <c r="U242" s="13">
        <v>145.693</v>
      </c>
      <c r="V242" s="13">
        <v>13.2375</v>
      </c>
      <c r="W242" s="13">
        <v>0.380062085876767</v>
      </c>
      <c r="X242" s="15"/>
      <c r="Y242" s="13">
        <f>X242-O242</f>
        <v>-3</v>
      </c>
      <c r="Z242" s="13">
        <f>Y242*4800/SUM(Y3:Y252)</f>
        <v>-1.01630032803916</v>
      </c>
      <c r="AA242" s="15"/>
      <c r="AB242" s="15">
        <f>_xlfn.XLOOKUP(K242,AF256:AF398,AH256:AH398)</f>
      </c>
    </row>
    <row r="243" ht="20.05" customHeight="1">
      <c r="A243" s="11">
        <v>19</v>
      </c>
      <c r="B243" t="s" s="12">
        <v>338</v>
      </c>
      <c r="C243" s="15"/>
      <c r="D243" s="13">
        <v>5586</v>
      </c>
      <c r="E243" s="13">
        <v>2023</v>
      </c>
      <c r="F243" t="s" s="14">
        <v>29</v>
      </c>
      <c r="G243" s="13">
        <v>4</v>
      </c>
      <c r="H243" s="13">
        <v>553.4</v>
      </c>
      <c r="I243" t="s" s="14">
        <v>38</v>
      </c>
      <c r="J243" t="s" s="14">
        <v>434</v>
      </c>
      <c r="K243" t="s" s="14">
        <f>_xlfn.CONCAT(LEFT(I243,1),". ",J243)</f>
        <v>454</v>
      </c>
      <c r="L243" s="15"/>
      <c r="M243" s="15"/>
      <c r="N243" s="13">
        <v>8.300000000000001</v>
      </c>
      <c r="O243" s="13">
        <v>3</v>
      </c>
      <c r="P243" s="15"/>
      <c r="Q243" s="13">
        <f>P243*4800/SUM(P3:P252)</f>
        <v>0</v>
      </c>
      <c r="R243" s="13">
        <v>14.52</v>
      </c>
      <c r="S243" s="13">
        <v>237.647</v>
      </c>
      <c r="T243" s="13">
        <v>2.74</v>
      </c>
      <c r="U243" s="13">
        <v>145.693</v>
      </c>
      <c r="V243" s="13">
        <v>13.2375</v>
      </c>
      <c r="W243" s="13">
        <v>0.380062085876767</v>
      </c>
      <c r="X243" s="15"/>
      <c r="Y243" s="13">
        <f>X243-O243</f>
        <v>-3</v>
      </c>
      <c r="Z243" s="13">
        <f>Y243*4800/SUM(Y3:Y252)</f>
        <v>-1.01630032803916</v>
      </c>
      <c r="AA243" s="15"/>
      <c r="AB243" s="15">
        <f>_xlfn.XLOOKUP(K243,AF256:AF398,AH256:AH398)</f>
      </c>
    </row>
    <row r="244" ht="20.05" customHeight="1">
      <c r="A244" s="11">
        <v>20</v>
      </c>
      <c r="B244" t="s" s="12">
        <v>338</v>
      </c>
      <c r="C244" s="15"/>
      <c r="D244" s="13">
        <v>5565</v>
      </c>
      <c r="E244" s="13">
        <v>2023</v>
      </c>
      <c r="F244" t="s" s="14">
        <v>29</v>
      </c>
      <c r="G244" s="13">
        <v>6</v>
      </c>
      <c r="H244" s="13">
        <v>567</v>
      </c>
      <c r="I244" t="s" s="14">
        <v>190</v>
      </c>
      <c r="J244" t="s" s="14">
        <v>455</v>
      </c>
      <c r="K244" t="s" s="14">
        <f>_xlfn.CONCAT(LEFT(I244,1),". ",J244)</f>
        <v>456</v>
      </c>
      <c r="L244" s="15"/>
      <c r="M244" s="15"/>
      <c r="N244" s="13">
        <v>8.300000000000001</v>
      </c>
      <c r="O244" s="13">
        <v>3</v>
      </c>
      <c r="P244" s="15"/>
      <c r="Q244" s="13">
        <f>P244*4800/SUM(P3:P252)</f>
        <v>0</v>
      </c>
      <c r="R244" s="13">
        <v>14.52</v>
      </c>
      <c r="S244" s="13">
        <v>237.647</v>
      </c>
      <c r="T244" s="13">
        <v>2.74</v>
      </c>
      <c r="U244" s="13">
        <v>145.693</v>
      </c>
      <c r="V244" s="13">
        <v>13.2375</v>
      </c>
      <c r="W244" s="13">
        <v>0.380062085876767</v>
      </c>
      <c r="X244" s="15"/>
      <c r="Y244" s="13">
        <f>X244-O244</f>
        <v>-3</v>
      </c>
      <c r="Z244" s="13">
        <f>Y244*4800/SUM(Y3:Y252)</f>
        <v>-1.01630032803916</v>
      </c>
      <c r="AA244" s="15"/>
      <c r="AB244" s="15">
        <f>_xlfn.XLOOKUP(K244,AF256:AF398,AH256:AH398)</f>
      </c>
    </row>
    <row r="245" ht="20.05" customHeight="1">
      <c r="A245" s="11">
        <v>21</v>
      </c>
      <c r="B245" t="s" s="12">
        <v>338</v>
      </c>
      <c r="C245" s="15"/>
      <c r="D245" s="13">
        <v>3832</v>
      </c>
      <c r="E245" s="13">
        <v>2023</v>
      </c>
      <c r="F245" t="s" s="14">
        <v>29</v>
      </c>
      <c r="G245" s="13">
        <v>8</v>
      </c>
      <c r="H245" s="13">
        <v>620.8</v>
      </c>
      <c r="I245" t="s" s="14">
        <v>457</v>
      </c>
      <c r="J245" t="s" s="14">
        <v>458</v>
      </c>
      <c r="K245" t="s" s="14">
        <f>_xlfn.CONCAT(LEFT(I245,1),". ",J245)</f>
        <v>459</v>
      </c>
      <c r="L245" s="13">
        <v>6.7</v>
      </c>
      <c r="M245" s="15"/>
      <c r="N245" s="13">
        <v>8.300000000000001</v>
      </c>
      <c r="O245" s="13">
        <v>3</v>
      </c>
      <c r="P245" s="15"/>
      <c r="Q245" s="13">
        <f>P245*4800/SUM(P3:P252)</f>
        <v>0</v>
      </c>
      <c r="R245" s="13">
        <v>14.52</v>
      </c>
      <c r="S245" s="13">
        <v>237.647</v>
      </c>
      <c r="T245" s="13">
        <v>2.74</v>
      </c>
      <c r="U245" s="13">
        <v>145.693</v>
      </c>
      <c r="V245" s="13">
        <v>13.2375</v>
      </c>
      <c r="W245" s="13">
        <v>0.380062085876767</v>
      </c>
      <c r="X245" s="15"/>
      <c r="Y245" s="13">
        <f>X245-O245</f>
        <v>-3</v>
      </c>
      <c r="Z245" s="13">
        <f>Y245*4800/SUM(Y3:Y252)</f>
        <v>-1.01630032803916</v>
      </c>
      <c r="AA245" s="15"/>
      <c r="AB245" s="15">
        <f>_xlfn.XLOOKUP(K245,AF256:AF398,AH256:AH398)</f>
      </c>
    </row>
    <row r="246" ht="20.05" customHeight="1">
      <c r="A246" s="11">
        <v>22</v>
      </c>
      <c r="B246" t="s" s="12">
        <v>338</v>
      </c>
      <c r="C246" s="15"/>
      <c r="D246" s="13">
        <v>6202</v>
      </c>
      <c r="E246" s="13">
        <v>2023</v>
      </c>
      <c r="F246" t="s" s="14">
        <v>29</v>
      </c>
      <c r="G246" s="13">
        <v>5</v>
      </c>
      <c r="H246" s="13">
        <v>631</v>
      </c>
      <c r="I246" t="s" s="14">
        <v>374</v>
      </c>
      <c r="J246" t="s" s="14">
        <v>276</v>
      </c>
      <c r="K246" t="s" s="14">
        <f>_xlfn.CONCAT(LEFT(I246,1),". ",J246)</f>
        <v>460</v>
      </c>
      <c r="L246" s="13">
        <v>1.7</v>
      </c>
      <c r="M246" s="15"/>
      <c r="N246" s="13">
        <v>8.300000000000001</v>
      </c>
      <c r="O246" s="13">
        <v>3</v>
      </c>
      <c r="P246" s="15"/>
      <c r="Q246" s="13">
        <f>P246*4800/SUM(P3:P252)</f>
        <v>0</v>
      </c>
      <c r="R246" s="13">
        <v>14.52</v>
      </c>
      <c r="S246" s="13">
        <v>237.647</v>
      </c>
      <c r="T246" s="13">
        <v>2.74</v>
      </c>
      <c r="U246" s="13">
        <v>145.693</v>
      </c>
      <c r="V246" s="13">
        <v>13.2375</v>
      </c>
      <c r="W246" s="13">
        <v>0.380062085876767</v>
      </c>
      <c r="X246" s="15"/>
      <c r="Y246" s="13">
        <f>X246-O246</f>
        <v>-3</v>
      </c>
      <c r="Z246" s="13">
        <f>Y246*4800/SUM(Y3:Y252)</f>
        <v>-1.01630032803916</v>
      </c>
      <c r="AA246" s="15"/>
      <c r="AB246" s="15">
        <f>_xlfn.XLOOKUP(K246,AF256:AF398,AH256:AH398)</f>
      </c>
    </row>
    <row r="247" ht="20.05" customHeight="1">
      <c r="A247" s="11">
        <v>23</v>
      </c>
      <c r="B247" t="s" s="12">
        <v>338</v>
      </c>
      <c r="C247" s="15"/>
      <c r="D247" s="13">
        <v>11510</v>
      </c>
      <c r="E247" s="13">
        <v>2023</v>
      </c>
      <c r="F247" t="s" s="14">
        <v>29</v>
      </c>
      <c r="G247" s="13">
        <v>1</v>
      </c>
      <c r="H247" s="13">
        <v>696.4</v>
      </c>
      <c r="I247" t="s" s="14">
        <v>334</v>
      </c>
      <c r="J247" t="s" s="14">
        <v>461</v>
      </c>
      <c r="K247" t="s" s="14">
        <f>_xlfn.CONCAT(LEFT(I247,1),". ",J247)</f>
        <v>462</v>
      </c>
      <c r="L247" s="13">
        <v>11.2</v>
      </c>
      <c r="M247" s="15"/>
      <c r="N247" s="13">
        <v>8.300000000000001</v>
      </c>
      <c r="O247" s="13">
        <v>3</v>
      </c>
      <c r="P247" s="15"/>
      <c r="Q247" s="13">
        <f>P247*4800/SUM(P3:P252)</f>
        <v>0</v>
      </c>
      <c r="R247" s="13">
        <v>14.52</v>
      </c>
      <c r="S247" s="13">
        <v>237.647</v>
      </c>
      <c r="T247" s="13">
        <v>2.74</v>
      </c>
      <c r="U247" s="13">
        <v>145.693</v>
      </c>
      <c r="V247" s="13">
        <v>13.2375</v>
      </c>
      <c r="W247" s="13">
        <v>0.380062085876767</v>
      </c>
      <c r="X247" s="15"/>
      <c r="Y247" s="13">
        <f>X247-O247</f>
        <v>-3</v>
      </c>
      <c r="Z247" s="13">
        <f>Y247*4800/SUM(Y3:Y252)</f>
        <v>-1.01630032803916</v>
      </c>
      <c r="AA247" s="15"/>
      <c r="AB247" s="15">
        <f>_xlfn.XLOOKUP(K247,AF256:AF398,AH256:AH398)</f>
      </c>
    </row>
    <row r="248" ht="8.35" customHeight="1" hidden="1">
      <c r="A248" s="11">
        <v>65</v>
      </c>
      <c r="B248" t="s" s="12">
        <v>28</v>
      </c>
      <c r="C248" s="15"/>
      <c r="D248" s="13">
        <v>7588</v>
      </c>
      <c r="E248" s="13">
        <v>2022</v>
      </c>
      <c r="F248" t="s" s="14">
        <v>29</v>
      </c>
      <c r="G248" s="13">
        <v>3</v>
      </c>
      <c r="H248" s="13">
        <v>20.9</v>
      </c>
      <c r="I248" t="s" s="14">
        <v>463</v>
      </c>
      <c r="J248" t="s" s="14">
        <v>208</v>
      </c>
      <c r="K248" s="15"/>
      <c r="L248" s="13">
        <v>33</v>
      </c>
      <c r="M248" s="15"/>
      <c r="N248" s="13">
        <v>213.8</v>
      </c>
      <c r="O248" s="13">
        <v>96.40000000000001</v>
      </c>
      <c r="P248" s="15"/>
      <c r="Q248" s="15"/>
      <c r="R248" s="13">
        <v>213.208888888889</v>
      </c>
      <c r="S248" s="16">
        <v>1627.093555555560</v>
      </c>
      <c r="T248" s="13">
        <v>-26.4791111111111</v>
      </c>
      <c r="U248" s="16">
        <v>2651.024017373740</v>
      </c>
      <c r="V248" s="13">
        <v>176.409166666667</v>
      </c>
      <c r="W248" s="13">
        <v>0.619670678091846</v>
      </c>
      <c r="X248" s="15"/>
      <c r="Y248" s="13">
        <f>X248-O248</f>
        <v>-96.40000000000001</v>
      </c>
      <c r="Z248" s="13">
        <f>Y248*4800/SUM(Y3:Y252)</f>
        <v>-32.6571172076584</v>
      </c>
      <c r="AA248" s="15"/>
      <c r="AB248" s="15"/>
    </row>
    <row r="249" ht="20.05" customHeight="1">
      <c r="A249" s="11">
        <v>57</v>
      </c>
      <c r="B249" t="s" s="12">
        <v>28</v>
      </c>
      <c r="C249" s="15"/>
      <c r="D249" s="13">
        <v>4988</v>
      </c>
      <c r="E249" s="13">
        <v>2023</v>
      </c>
      <c r="F249" t="s" s="14">
        <v>29</v>
      </c>
      <c r="G249" s="13">
        <v>6</v>
      </c>
      <c r="H249" s="13">
        <v>10.6</v>
      </c>
      <c r="I249" t="s" s="14">
        <v>35</v>
      </c>
      <c r="J249" t="s" s="14">
        <v>36</v>
      </c>
      <c r="K249" t="s" s="14">
        <f>_xlfn.CONCAT(LEFT(I249,1),". ",J249)</f>
        <v>464</v>
      </c>
      <c r="L249" s="13">
        <v>21.1</v>
      </c>
      <c r="M249" s="15"/>
      <c r="N249" s="13">
        <v>213.8</v>
      </c>
      <c r="O249" s="13">
        <v>96.40000000000001</v>
      </c>
      <c r="P249" s="15"/>
      <c r="Q249" s="13">
        <f>P249*4800/SUM(P3:P252)</f>
        <v>0</v>
      </c>
      <c r="R249" s="13">
        <v>213.208888888889</v>
      </c>
      <c r="S249" s="16">
        <v>1627.093555555560</v>
      </c>
      <c r="T249" s="13">
        <v>-26.4791111111111</v>
      </c>
      <c r="U249" s="16">
        <v>2651.024017373740</v>
      </c>
      <c r="V249" s="13">
        <v>176.409166666667</v>
      </c>
      <c r="W249" s="13">
        <v>0.619670678091846</v>
      </c>
      <c r="X249" s="15"/>
      <c r="Y249" s="13">
        <f>X249-O249</f>
        <v>-96.40000000000001</v>
      </c>
      <c r="Z249" s="13">
        <f>Y249*4800/SUM(Y3:Y252)</f>
        <v>-32.6571172076584</v>
      </c>
      <c r="AA249" s="15"/>
      <c r="AB249" s="13">
        <f>_xlfn.XLOOKUP(K249,AF256:AF398,AH256:AH398)</f>
        <v>57</v>
      </c>
    </row>
    <row r="250" ht="20.05" customHeight="1">
      <c r="A250" s="11">
        <v>71</v>
      </c>
      <c r="B250" t="s" s="12">
        <v>28</v>
      </c>
      <c r="C250" s="15"/>
      <c r="D250" s="13">
        <v>6806</v>
      </c>
      <c r="E250" s="13">
        <v>2023</v>
      </c>
      <c r="F250" t="s" s="14">
        <v>29</v>
      </c>
      <c r="G250" s="13">
        <v>4</v>
      </c>
      <c r="H250" s="13">
        <v>51.3</v>
      </c>
      <c r="I250" t="s" s="14">
        <v>82</v>
      </c>
      <c r="J250" t="s" s="14">
        <v>83</v>
      </c>
      <c r="K250" t="s" s="14">
        <f>_xlfn.CONCAT(LEFT(I250,1),". ",J250)</f>
        <v>465</v>
      </c>
      <c r="L250" s="13">
        <v>10.7</v>
      </c>
      <c r="M250" s="15"/>
      <c r="N250" s="13">
        <v>213.8</v>
      </c>
      <c r="O250" s="13">
        <v>96.40000000000001</v>
      </c>
      <c r="P250" s="15"/>
      <c r="Q250" s="13">
        <f>P250*4800/SUM(P3:P252)</f>
        <v>0</v>
      </c>
      <c r="R250" s="13">
        <v>213.208888888889</v>
      </c>
      <c r="S250" s="16">
        <v>1627.093555555560</v>
      </c>
      <c r="T250" s="13">
        <v>-26.4791111111111</v>
      </c>
      <c r="U250" s="16">
        <v>2651.024017373740</v>
      </c>
      <c r="V250" s="13">
        <v>176.409166666667</v>
      </c>
      <c r="W250" s="13">
        <v>0.619670678091846</v>
      </c>
      <c r="X250" s="15"/>
      <c r="Y250" s="13">
        <f>X250-O250</f>
        <v>-96.40000000000001</v>
      </c>
      <c r="Z250" s="13">
        <f>Y250*4800/SUM(Y3:Y252)</f>
        <v>-32.6571172076584</v>
      </c>
      <c r="AA250" s="15"/>
      <c r="AB250" s="13">
        <f>_xlfn.XLOOKUP(K250,AF256:AF398,AH256:AH398)</f>
        <v>18</v>
      </c>
    </row>
    <row r="251" ht="8.35" customHeight="1" hidden="1">
      <c r="A251" s="11">
        <v>52</v>
      </c>
      <c r="B251" t="s" s="12">
        <v>75</v>
      </c>
      <c r="C251" s="15"/>
      <c r="D251" s="13">
        <v>7610</v>
      </c>
      <c r="E251" s="13">
        <v>2022</v>
      </c>
      <c r="F251" t="s" s="14">
        <v>29</v>
      </c>
      <c r="G251" s="13">
        <v>3</v>
      </c>
      <c r="H251" s="13">
        <v>104.1</v>
      </c>
      <c r="I251" t="s" s="14">
        <v>466</v>
      </c>
      <c r="J251" t="s" s="14">
        <v>467</v>
      </c>
      <c r="K251" s="15"/>
      <c r="L251" s="13">
        <v>12.46</v>
      </c>
      <c r="M251" s="15"/>
      <c r="N251" s="13">
        <v>332.28</v>
      </c>
      <c r="O251" s="13">
        <v>253.94</v>
      </c>
      <c r="P251" s="15"/>
      <c r="Q251" s="15"/>
      <c r="R251" s="13">
        <v>331.717272727273</v>
      </c>
      <c r="S251" s="13">
        <v>1529.024316017320</v>
      </c>
      <c r="T251" s="13">
        <v>-42.8909090909091</v>
      </c>
      <c r="U251" s="16">
        <v>5503.577170562770</v>
      </c>
      <c r="V251" s="13">
        <v>276.810434782609</v>
      </c>
      <c r="W251" s="13">
        <v>0.782580554445596</v>
      </c>
      <c r="X251" s="15"/>
      <c r="Y251" s="13">
        <f>X251-O251</f>
        <v>-253.94</v>
      </c>
      <c r="Z251" s="13">
        <f>Y251*4800/SUM(Y3:Y252)</f>
        <v>-86.0264351007549</v>
      </c>
      <c r="AA251" s="15"/>
      <c r="AB251" s="15"/>
    </row>
    <row r="252" ht="20.05" customHeight="1">
      <c r="A252" s="11">
        <v>52</v>
      </c>
      <c r="B252" t="s" s="12">
        <v>75</v>
      </c>
      <c r="C252" s="15"/>
      <c r="D252" s="13">
        <v>96</v>
      </c>
      <c r="E252" s="13">
        <v>2023</v>
      </c>
      <c r="F252" t="s" s="14">
        <v>29</v>
      </c>
      <c r="G252" s="13">
        <v>19</v>
      </c>
      <c r="H252" s="13">
        <v>103.3</v>
      </c>
      <c r="I252" t="s" s="14">
        <v>63</v>
      </c>
      <c r="J252" t="s" s="14">
        <v>349</v>
      </c>
      <c r="K252" t="s" s="14">
        <f>_xlfn.CONCAT(LEFT(I252,1),". ",J252)</f>
        <v>468</v>
      </c>
      <c r="L252" s="15"/>
      <c r="M252" s="15"/>
      <c r="N252" s="13">
        <v>332.28</v>
      </c>
      <c r="O252" s="13">
        <v>253.94</v>
      </c>
      <c r="P252" s="15"/>
      <c r="Q252" s="13">
        <f>P252*4800/SUM(P3:P252)</f>
        <v>0</v>
      </c>
      <c r="R252" s="13">
        <v>331.717272727273</v>
      </c>
      <c r="S252" s="13">
        <v>1529.024316017320</v>
      </c>
      <c r="T252" s="13">
        <v>-42.8909090909091</v>
      </c>
      <c r="U252" s="16">
        <v>5503.577170562770</v>
      </c>
      <c r="V252" s="13">
        <v>276.810434782609</v>
      </c>
      <c r="W252" s="13">
        <v>0.782580554445596</v>
      </c>
      <c r="X252" s="15"/>
      <c r="Y252" s="13">
        <f>X252-O252</f>
        <v>-253.94</v>
      </c>
      <c r="Z252" s="13">
        <f>Y252*4800/SUM(Y3:Y252)</f>
        <v>-86.0264351007549</v>
      </c>
      <c r="AA252" s="15"/>
      <c r="AB252" s="13">
        <f>_xlfn.XLOOKUP(K252,AF256:AF398,AH256:AH398)</f>
        <v>6</v>
      </c>
    </row>
    <row r="254" ht="27.65" customHeight="1">
      <c r="AC254" t="s" s="2">
        <v>469</v>
      </c>
      <c r="AD254" s="2"/>
      <c r="AE254" s="2"/>
      <c r="AF254" s="2"/>
      <c r="AG254" s="2"/>
      <c r="AH254" s="2"/>
    </row>
    <row r="255" ht="20.25" customHeight="1">
      <c r="AC255" s="18"/>
      <c r="AD255" t="s" s="19">
        <v>470</v>
      </c>
      <c r="AE255" t="s" s="19">
        <v>471</v>
      </c>
      <c r="AF255" t="s" s="19">
        <v>10</v>
      </c>
      <c r="AG255" t="s" s="19">
        <v>472</v>
      </c>
      <c r="AH255" t="s" s="19">
        <v>27</v>
      </c>
    </row>
    <row r="256" ht="20.25" customHeight="1">
      <c r="AC256" s="20"/>
      <c r="AD256" t="s" s="21">
        <v>473</v>
      </c>
      <c r="AE256" t="s" s="22">
        <v>250</v>
      </c>
      <c r="AF256" t="s" s="22">
        <f>_xlfn.CONCAT(AD256,". ",AE256)</f>
        <v>251</v>
      </c>
      <c r="AG256" t="s" s="22">
        <v>75</v>
      </c>
      <c r="AH256" s="23">
        <v>6</v>
      </c>
    </row>
    <row r="257" ht="20.05" customHeight="1">
      <c r="AC257" s="24"/>
      <c r="AD257" t="s" s="25">
        <v>474</v>
      </c>
      <c r="AE257" t="s" s="26">
        <v>76</v>
      </c>
      <c r="AF257" t="s" s="26">
        <f>_xlfn.CONCAT(AD257,". ",AE257)</f>
        <v>106</v>
      </c>
      <c r="AG257" t="s" s="26">
        <v>75</v>
      </c>
      <c r="AH257" s="27">
        <v>32</v>
      </c>
    </row>
    <row r="258" ht="20.05" customHeight="1">
      <c r="AC258" s="24"/>
      <c r="AD258" t="s" s="25">
        <v>475</v>
      </c>
      <c r="AE258" t="s" s="26">
        <v>273</v>
      </c>
      <c r="AF258" t="s" s="26">
        <f>_xlfn.CONCAT(AD258,". ",AE258)</f>
        <v>274</v>
      </c>
      <c r="AG258" t="s" s="26">
        <v>75</v>
      </c>
      <c r="AH258" s="27">
        <v>2</v>
      </c>
    </row>
    <row r="259" ht="20.05" customHeight="1">
      <c r="AC259" s="24"/>
      <c r="AD259" t="s" s="25">
        <v>474</v>
      </c>
      <c r="AE259" t="s" s="26">
        <v>165</v>
      </c>
      <c r="AF259" t="s" s="26">
        <f>_xlfn.CONCAT(AD259,". ",AE259)</f>
        <v>228</v>
      </c>
      <c r="AG259" t="s" s="26">
        <v>75</v>
      </c>
      <c r="AH259" s="27">
        <v>10</v>
      </c>
    </row>
    <row r="260" ht="20.05" customHeight="1">
      <c r="AC260" s="24"/>
      <c r="AD260" t="s" s="25">
        <v>476</v>
      </c>
      <c r="AE260" t="s" s="26">
        <v>91</v>
      </c>
      <c r="AF260" t="s" s="26">
        <f>_xlfn.CONCAT(AD260,". ",AE260)</f>
        <v>136</v>
      </c>
      <c r="AG260" t="s" s="26">
        <v>75</v>
      </c>
      <c r="AH260" s="27">
        <v>28</v>
      </c>
    </row>
    <row r="261" ht="20.05" customHeight="1">
      <c r="AC261" s="24"/>
      <c r="AD261" t="s" s="25">
        <v>475</v>
      </c>
      <c r="AE261" t="s" s="26">
        <v>278</v>
      </c>
      <c r="AF261" t="s" s="26">
        <f>_xlfn.CONCAT(AD261,". ",AE261)</f>
        <v>279</v>
      </c>
      <c r="AG261" t="s" s="26">
        <v>75</v>
      </c>
      <c r="AH261" s="27">
        <v>6</v>
      </c>
    </row>
    <row r="262" ht="20.05" customHeight="1">
      <c r="AC262" s="24"/>
      <c r="AD262" t="s" s="25">
        <v>420</v>
      </c>
      <c r="AE262" t="s" s="26">
        <v>101</v>
      </c>
      <c r="AF262" t="s" s="26">
        <f>_xlfn.CONCAT(AD262,". ",AE262)</f>
        <v>102</v>
      </c>
      <c r="AG262" t="s" s="26">
        <v>75</v>
      </c>
      <c r="AH262" s="27">
        <v>40</v>
      </c>
    </row>
    <row r="263" ht="20.05" customHeight="1">
      <c r="AC263" s="24"/>
      <c r="AD263" t="s" s="25">
        <v>474</v>
      </c>
      <c r="AE263" t="s" s="26">
        <v>93</v>
      </c>
      <c r="AF263" t="s" s="26">
        <f>_xlfn.CONCAT(AD263,". ",AE263)</f>
        <v>94</v>
      </c>
      <c r="AG263" t="s" s="26">
        <v>75</v>
      </c>
      <c r="AH263" s="27">
        <v>37</v>
      </c>
    </row>
    <row r="264" ht="20.05" customHeight="1">
      <c r="AC264" s="24"/>
      <c r="AD264" t="s" s="25">
        <v>473</v>
      </c>
      <c r="AE264" t="s" s="26">
        <v>78</v>
      </c>
      <c r="AF264" t="s" s="26">
        <f>_xlfn.CONCAT(AD264,". ",AE264)</f>
        <v>79</v>
      </c>
      <c r="AG264" t="s" s="26">
        <v>28</v>
      </c>
      <c r="AH264" s="27">
        <v>36</v>
      </c>
    </row>
    <row r="265" ht="20.05" customHeight="1">
      <c r="AC265" s="24"/>
      <c r="AD265" t="s" s="25">
        <v>477</v>
      </c>
      <c r="AE265" t="s" s="26">
        <v>36</v>
      </c>
      <c r="AF265" t="s" s="26">
        <f>_xlfn.CONCAT(AD265,". ",AE265)</f>
        <v>464</v>
      </c>
      <c r="AG265" t="s" s="26">
        <v>28</v>
      </c>
      <c r="AH265" s="27">
        <v>57</v>
      </c>
    </row>
    <row r="266" ht="20.05" customHeight="1">
      <c r="AC266" s="24"/>
      <c r="AD266" t="s" s="25">
        <v>478</v>
      </c>
      <c r="AE266" t="s" s="26">
        <v>34</v>
      </c>
      <c r="AF266" t="s" s="26">
        <f>_xlfn.CONCAT(AD266,". ",AE266)</f>
        <v>66</v>
      </c>
      <c r="AG266" t="s" s="26">
        <v>28</v>
      </c>
      <c r="AH266" s="27">
        <v>50</v>
      </c>
    </row>
    <row r="267" ht="20.05" customHeight="1">
      <c r="AC267" s="24"/>
      <c r="AD267" t="s" s="25">
        <v>479</v>
      </c>
      <c r="AE267" t="s" s="26">
        <v>31</v>
      </c>
      <c r="AF267" t="s" s="26">
        <f>_xlfn.CONCAT(AD267,". ",AE267)</f>
        <v>32</v>
      </c>
      <c r="AG267" t="s" s="26">
        <v>28</v>
      </c>
      <c r="AH267" s="27">
        <v>63</v>
      </c>
    </row>
    <row r="268" ht="20.05" customHeight="1">
      <c r="AC268" s="24"/>
      <c r="AD268" t="s" s="25">
        <v>152</v>
      </c>
      <c r="AE268" t="s" s="26">
        <v>115</v>
      </c>
      <c r="AF268" t="s" s="26">
        <f>_xlfn.CONCAT(AD268,". ",AE268)</f>
        <v>116</v>
      </c>
      <c r="AG268" t="s" s="26">
        <v>28</v>
      </c>
      <c r="AH268" s="27">
        <v>29</v>
      </c>
    </row>
    <row r="269" ht="20.05" customHeight="1">
      <c r="AC269" s="24"/>
      <c r="AD269" t="s" s="25">
        <v>473</v>
      </c>
      <c r="AE269" t="s" s="26">
        <v>85</v>
      </c>
      <c r="AF269" t="s" s="26">
        <f>_xlfn.CONCAT(AD269,". ",AE269)</f>
        <v>86</v>
      </c>
      <c r="AG269" t="s" s="26">
        <v>28</v>
      </c>
      <c r="AH269" s="27">
        <v>50</v>
      </c>
    </row>
    <row r="270" ht="20.05" customHeight="1">
      <c r="AC270" s="24"/>
      <c r="AD270" t="s" s="25">
        <v>477</v>
      </c>
      <c r="AE270" t="s" s="26">
        <v>70</v>
      </c>
      <c r="AF270" t="s" s="26">
        <f>_xlfn.CONCAT(AD270,". ",AE270)</f>
        <v>107</v>
      </c>
      <c r="AG270" t="s" s="26">
        <v>28</v>
      </c>
      <c r="AH270" s="27">
        <v>33</v>
      </c>
    </row>
    <row r="271" ht="20.05" customHeight="1">
      <c r="AC271" s="24"/>
      <c r="AD271" t="s" s="25">
        <v>475</v>
      </c>
      <c r="AE271" t="s" s="26">
        <v>38</v>
      </c>
      <c r="AF271" t="s" s="26">
        <f>_xlfn.CONCAT(AD271,". ",AE271)</f>
        <v>65</v>
      </c>
      <c r="AG271" t="s" s="26">
        <v>28</v>
      </c>
      <c r="AH271" s="27">
        <v>50</v>
      </c>
    </row>
    <row r="272" ht="20.05" customHeight="1">
      <c r="AC272" s="24"/>
      <c r="AD272" t="s" s="25">
        <v>480</v>
      </c>
      <c r="AE272" t="s" s="26">
        <v>104</v>
      </c>
      <c r="AF272" t="s" s="26">
        <f>_xlfn.CONCAT(AD272,". ",AE272)</f>
        <v>105</v>
      </c>
      <c r="AG272" t="s" s="26">
        <v>28</v>
      </c>
      <c r="AH272" s="27">
        <v>32</v>
      </c>
    </row>
    <row r="273" ht="20.05" customHeight="1">
      <c r="AC273" s="24"/>
      <c r="AD273" t="s" s="25">
        <v>474</v>
      </c>
      <c r="AE273" t="s" s="26">
        <v>53</v>
      </c>
      <c r="AF273" t="s" s="26">
        <f>_xlfn.CONCAT(AD273,". ",AE273)</f>
        <v>143</v>
      </c>
      <c r="AG273" t="s" s="26">
        <v>28</v>
      </c>
      <c r="AH273" s="27">
        <v>31</v>
      </c>
    </row>
    <row r="274" ht="20.05" customHeight="1">
      <c r="AC274" s="24"/>
      <c r="AD274" t="s" s="25">
        <v>481</v>
      </c>
      <c r="AE274" t="s" s="26">
        <v>64</v>
      </c>
      <c r="AF274" t="s" s="26">
        <f>_xlfn.CONCAT(AD274,". ",AE274)</f>
        <v>123</v>
      </c>
      <c r="AG274" t="s" s="26">
        <v>28</v>
      </c>
      <c r="AH274" s="27">
        <v>29</v>
      </c>
    </row>
    <row r="275" ht="20.05" customHeight="1">
      <c r="AC275" s="24"/>
      <c r="AD275" t="s" s="25">
        <v>481</v>
      </c>
      <c r="AE275" t="s" s="26">
        <v>40</v>
      </c>
      <c r="AF275" t="s" s="26">
        <f>_xlfn.CONCAT(AD275,". ",AE275)</f>
        <v>41</v>
      </c>
      <c r="AG275" t="s" s="26">
        <v>28</v>
      </c>
      <c r="AH275" s="27">
        <v>59</v>
      </c>
    </row>
    <row r="276" ht="20.05" customHeight="1">
      <c r="AC276" s="24"/>
      <c r="AD276" t="s" s="25">
        <v>481</v>
      </c>
      <c r="AE276" t="s" s="26">
        <v>139</v>
      </c>
      <c r="AF276" t="s" s="26">
        <f>_xlfn.CONCAT(AD276,". ",AE276)</f>
        <v>140</v>
      </c>
      <c r="AG276" t="s" s="26">
        <v>28</v>
      </c>
      <c r="AH276" s="27">
        <v>18</v>
      </c>
    </row>
    <row r="277" ht="20.05" customHeight="1">
      <c r="AC277" s="24"/>
      <c r="AD277" t="s" s="25">
        <v>480</v>
      </c>
      <c r="AE277" t="s" s="26">
        <v>482</v>
      </c>
      <c r="AF277" t="s" s="26">
        <f>_xlfn.CONCAT(AD277,". ",AE277)</f>
        <v>483</v>
      </c>
      <c r="AG277" t="s" s="26">
        <v>28</v>
      </c>
      <c r="AH277" s="27">
        <v>12</v>
      </c>
    </row>
    <row r="278" ht="20.05" customHeight="1">
      <c r="AC278" s="24"/>
      <c r="AD278" t="s" s="25">
        <v>475</v>
      </c>
      <c r="AE278" t="s" s="26">
        <v>55</v>
      </c>
      <c r="AF278" t="s" s="26">
        <f>_xlfn.CONCAT(AD278,". ",AE278)</f>
        <v>484</v>
      </c>
      <c r="AG278" t="s" s="26">
        <v>28</v>
      </c>
      <c r="AH278" s="27">
        <v>10</v>
      </c>
    </row>
    <row r="279" ht="20.05" customHeight="1">
      <c r="AC279" s="24"/>
      <c r="AD279" t="s" s="25">
        <v>485</v>
      </c>
      <c r="AE279" t="s" s="26">
        <v>131</v>
      </c>
      <c r="AF279" t="s" s="26">
        <f>_xlfn.CONCAT(AD279,". ",AE279)</f>
        <v>132</v>
      </c>
      <c r="AG279" t="s" s="26">
        <v>28</v>
      </c>
      <c r="AH279" s="27">
        <v>16</v>
      </c>
    </row>
    <row r="280" ht="20.05" customHeight="1">
      <c r="AC280" s="24"/>
      <c r="AD280" t="s" s="25">
        <v>479</v>
      </c>
      <c r="AE280" t="s" s="26">
        <v>62</v>
      </c>
      <c r="AF280" t="s" s="26">
        <f>_xlfn.CONCAT(AD280,". ",AE280)</f>
        <v>219</v>
      </c>
      <c r="AG280" t="s" s="26">
        <v>46</v>
      </c>
      <c r="AH280" s="27">
        <v>47</v>
      </c>
    </row>
    <row r="281" ht="20.05" customHeight="1">
      <c r="AC281" s="24"/>
      <c r="AD281" t="s" s="25">
        <v>475</v>
      </c>
      <c r="AE281" t="s" s="26">
        <v>232</v>
      </c>
      <c r="AF281" t="s" s="26">
        <f>_xlfn.CONCAT(AD281,". ",AE281)</f>
        <v>233</v>
      </c>
      <c r="AG281" t="s" s="26">
        <v>46</v>
      </c>
      <c r="AH281" s="27">
        <v>18</v>
      </c>
    </row>
    <row r="282" ht="20.05" customHeight="1">
      <c r="AC282" s="24"/>
      <c r="AD282" t="s" s="25">
        <v>478</v>
      </c>
      <c r="AE282" t="s" s="26">
        <v>113</v>
      </c>
      <c r="AF282" t="s" s="26">
        <f>_xlfn.CONCAT(AD282,". ",AE282)</f>
        <v>122</v>
      </c>
      <c r="AG282" t="s" s="26">
        <v>46</v>
      </c>
      <c r="AH282" s="27">
        <v>49</v>
      </c>
    </row>
    <row r="283" ht="20.05" customHeight="1">
      <c r="AC283" s="24"/>
      <c r="AD283" t="s" s="25">
        <v>475</v>
      </c>
      <c r="AE283" t="s" s="26">
        <v>177</v>
      </c>
      <c r="AF283" t="s" s="26">
        <f>_xlfn.CONCAT(AD283,". ",AE283)</f>
        <v>220</v>
      </c>
      <c r="AG283" t="s" s="26">
        <v>46</v>
      </c>
      <c r="AH283" s="27">
        <v>18</v>
      </c>
    </row>
    <row r="284" ht="20.05" customHeight="1">
      <c r="AC284" s="24"/>
      <c r="AD284" t="s" s="25">
        <v>474</v>
      </c>
      <c r="AE284" t="s" s="26">
        <v>172</v>
      </c>
      <c r="AF284" t="s" s="26">
        <f>_xlfn.CONCAT(AD284,". ",AE284)</f>
        <v>181</v>
      </c>
      <c r="AG284" t="s" s="26">
        <v>46</v>
      </c>
      <c r="AH284" s="27">
        <v>35</v>
      </c>
    </row>
    <row r="285" ht="20.05" customHeight="1">
      <c r="AC285" s="24"/>
      <c r="AD285" t="s" s="25">
        <v>475</v>
      </c>
      <c r="AE285" t="s" s="26">
        <v>120</v>
      </c>
      <c r="AF285" t="s" s="26">
        <f>_xlfn.CONCAT(AD285,". ",AE285)</f>
        <v>121</v>
      </c>
      <c r="AG285" t="s" s="26">
        <v>46</v>
      </c>
      <c r="AH285" s="27">
        <v>44</v>
      </c>
    </row>
    <row r="286" ht="20.05" customHeight="1">
      <c r="AC286" s="24"/>
      <c r="AD286" t="s" s="25">
        <v>481</v>
      </c>
      <c r="AE286" t="s" s="26">
        <v>125</v>
      </c>
      <c r="AF286" t="s" s="26">
        <f>_xlfn.CONCAT(AD286,". ",AE286)</f>
        <v>126</v>
      </c>
      <c r="AG286" t="s" s="26">
        <v>46</v>
      </c>
      <c r="AH286" s="27">
        <v>40</v>
      </c>
    </row>
    <row r="287" ht="20.05" customHeight="1">
      <c r="AC287" s="24"/>
      <c r="AD287" t="s" s="25">
        <v>475</v>
      </c>
      <c r="AE287" t="s" s="26">
        <v>202</v>
      </c>
      <c r="AF287" t="s" s="26">
        <f>_xlfn.CONCAT(AD287,". ",AE287)</f>
        <v>203</v>
      </c>
      <c r="AG287" t="s" s="26">
        <v>46</v>
      </c>
      <c r="AH287" s="27">
        <v>27</v>
      </c>
    </row>
    <row r="288" ht="20.05" customHeight="1">
      <c r="AC288" s="24"/>
      <c r="AD288" t="s" s="25">
        <v>479</v>
      </c>
      <c r="AE288" t="s" s="26">
        <v>278</v>
      </c>
      <c r="AF288" t="s" s="26">
        <f>_xlfn.CONCAT(AD288,". ",AE288)</f>
        <v>305</v>
      </c>
      <c r="AG288" t="s" s="26">
        <v>46</v>
      </c>
      <c r="AH288" s="27">
        <v>13</v>
      </c>
    </row>
    <row r="289" ht="20.05" customHeight="1">
      <c r="AC289" s="24"/>
      <c r="AD289" t="s" s="25">
        <v>485</v>
      </c>
      <c r="AE289" t="s" s="26">
        <v>239</v>
      </c>
      <c r="AF289" t="s" s="26">
        <f>_xlfn.CONCAT(AD289,". ",AE289)</f>
        <v>486</v>
      </c>
      <c r="AG289" t="s" s="26">
        <v>46</v>
      </c>
      <c r="AH289" s="27">
        <v>6</v>
      </c>
    </row>
    <row r="290" ht="20.05" customHeight="1">
      <c r="AC290" s="24"/>
      <c r="AD290" t="s" s="25">
        <v>487</v>
      </c>
      <c r="AE290" t="s" s="26">
        <v>259</v>
      </c>
      <c r="AF290" t="s" s="26">
        <f>_xlfn.CONCAT(AD290,". ",AE290)</f>
        <v>260</v>
      </c>
      <c r="AG290" t="s" s="26">
        <v>46</v>
      </c>
      <c r="AH290" s="27">
        <v>16</v>
      </c>
    </row>
    <row r="291" ht="20.05" customHeight="1">
      <c r="AC291" s="24"/>
      <c r="AD291" t="s" s="25">
        <v>474</v>
      </c>
      <c r="AE291" t="s" s="26">
        <v>488</v>
      </c>
      <c r="AF291" t="s" s="26">
        <f>_xlfn.CONCAT(AD291,". ",AE291)</f>
        <v>489</v>
      </c>
      <c r="AG291" t="s" s="26">
        <v>46</v>
      </c>
      <c r="AH291" s="27">
        <v>10</v>
      </c>
    </row>
    <row r="292" ht="20.05" customHeight="1">
      <c r="AC292" s="24"/>
      <c r="AD292" t="s" s="25">
        <v>152</v>
      </c>
      <c r="AE292" t="s" s="26">
        <v>76</v>
      </c>
      <c r="AF292" t="s" s="26">
        <f>_xlfn.CONCAT(AD292,". ",AE292)</f>
        <v>241</v>
      </c>
      <c r="AG292" t="s" s="26">
        <v>46</v>
      </c>
      <c r="AH292" s="27">
        <v>20</v>
      </c>
    </row>
    <row r="293" ht="20.05" customHeight="1">
      <c r="AC293" s="24"/>
      <c r="AD293" t="s" s="25">
        <v>473</v>
      </c>
      <c r="AE293" t="s" s="26">
        <v>184</v>
      </c>
      <c r="AF293" t="s" s="26">
        <f>_xlfn.CONCAT(AD293,". ",AE293)</f>
        <v>204</v>
      </c>
      <c r="AG293" t="s" s="26">
        <v>46</v>
      </c>
      <c r="AH293" s="27">
        <v>26</v>
      </c>
    </row>
    <row r="294" ht="20.05" customHeight="1">
      <c r="AC294" s="24"/>
      <c r="AD294" t="s" s="25">
        <v>479</v>
      </c>
      <c r="AE294" t="s" s="26">
        <v>196</v>
      </c>
      <c r="AF294" t="s" s="26">
        <f>_xlfn.CONCAT(AD294,". ",AE294)</f>
        <v>197</v>
      </c>
      <c r="AG294" t="s" s="26">
        <v>46</v>
      </c>
      <c r="AH294" s="27">
        <v>28</v>
      </c>
    </row>
    <row r="295" ht="20.05" customHeight="1">
      <c r="AC295" s="24"/>
      <c r="AD295" t="s" s="25">
        <v>473</v>
      </c>
      <c r="AE295" t="s" s="26">
        <v>246</v>
      </c>
      <c r="AF295" t="s" s="26">
        <f>_xlfn.CONCAT(AD295,". ",AE295)</f>
        <v>247</v>
      </c>
      <c r="AG295" t="s" s="26">
        <v>46</v>
      </c>
      <c r="AH295" s="27">
        <v>13</v>
      </c>
    </row>
    <row r="296" ht="20.05" customHeight="1">
      <c r="AC296" s="24"/>
      <c r="AD296" t="s" s="25">
        <v>485</v>
      </c>
      <c r="AE296" t="s" s="26">
        <v>125</v>
      </c>
      <c r="AF296" t="s" s="26">
        <f>_xlfn.CONCAT(AD296,". ",AE296)</f>
        <v>490</v>
      </c>
      <c r="AG296" t="s" s="26">
        <v>46</v>
      </c>
      <c r="AH296" s="27">
        <v>9</v>
      </c>
    </row>
    <row r="297" ht="20.05" customHeight="1">
      <c r="AC297" s="24"/>
      <c r="AD297" t="s" s="25">
        <v>480</v>
      </c>
      <c r="AE297" t="s" s="26">
        <v>287</v>
      </c>
      <c r="AF297" t="s" s="26">
        <f>_xlfn.CONCAT(AD297,". ",AE297)</f>
        <v>491</v>
      </c>
      <c r="AG297" t="s" s="26">
        <v>46</v>
      </c>
      <c r="AH297" s="27">
        <v>2</v>
      </c>
    </row>
    <row r="298" ht="20.05" customHeight="1">
      <c r="AC298" s="24"/>
      <c r="AD298" t="s" s="25">
        <v>485</v>
      </c>
      <c r="AE298" t="s" s="26">
        <v>229</v>
      </c>
      <c r="AF298" t="s" s="26">
        <f>_xlfn.CONCAT(AD298,". ",AE298)</f>
        <v>230</v>
      </c>
      <c r="AG298" t="s" s="26">
        <v>46</v>
      </c>
      <c r="AH298" s="27">
        <v>12</v>
      </c>
    </row>
    <row r="299" ht="20.05" customHeight="1">
      <c r="AC299" s="24"/>
      <c r="AD299" t="s" s="25">
        <v>479</v>
      </c>
      <c r="AE299" t="s" s="26">
        <v>280</v>
      </c>
      <c r="AF299" t="s" s="26">
        <f>_xlfn.CONCAT(AD299,". ",AE299)</f>
        <v>281</v>
      </c>
      <c r="AG299" t="s" s="26">
        <v>46</v>
      </c>
      <c r="AH299" s="27">
        <v>14</v>
      </c>
    </row>
    <row r="300" ht="20.05" customHeight="1">
      <c r="AC300" s="24"/>
      <c r="AD300" t="s" s="25">
        <v>475</v>
      </c>
      <c r="AE300" t="s" s="26">
        <v>243</v>
      </c>
      <c r="AF300" t="s" s="26">
        <f>_xlfn.CONCAT(AD300,". ",AE300)</f>
        <v>244</v>
      </c>
      <c r="AG300" t="s" s="26">
        <v>46</v>
      </c>
      <c r="AH300" s="27">
        <v>18</v>
      </c>
    </row>
    <row r="301" ht="20.05" customHeight="1">
      <c r="AC301" s="24"/>
      <c r="AD301" t="s" s="25">
        <v>475</v>
      </c>
      <c r="AE301" t="s" s="26">
        <v>226</v>
      </c>
      <c r="AF301" t="s" s="26">
        <f>_xlfn.CONCAT(AD301,". ",AE301)</f>
        <v>227</v>
      </c>
      <c r="AG301" t="s" s="26">
        <v>46</v>
      </c>
      <c r="AH301" s="27">
        <v>26</v>
      </c>
    </row>
    <row r="302" ht="20.05" customHeight="1">
      <c r="AC302" s="24"/>
      <c r="AD302" t="s" s="25">
        <v>475</v>
      </c>
      <c r="AE302" t="s" s="26">
        <v>276</v>
      </c>
      <c r="AF302" t="s" s="26">
        <f>_xlfn.CONCAT(AD302,". ",AE302)</f>
        <v>320</v>
      </c>
      <c r="AG302" t="s" s="26">
        <v>46</v>
      </c>
      <c r="AH302" s="27">
        <v>9</v>
      </c>
    </row>
    <row r="303" ht="20.05" customHeight="1">
      <c r="AC303" s="24"/>
      <c r="AD303" t="s" s="25">
        <v>474</v>
      </c>
      <c r="AE303" t="s" s="26">
        <v>262</v>
      </c>
      <c r="AF303" t="s" s="26">
        <f>_xlfn.CONCAT(AD303,". ",AE303)</f>
        <v>492</v>
      </c>
      <c r="AG303" t="s" s="26">
        <v>46</v>
      </c>
      <c r="AH303" s="27">
        <v>4</v>
      </c>
    </row>
    <row r="304" ht="20.05" customHeight="1">
      <c r="AC304" s="24"/>
      <c r="AD304" t="s" s="25">
        <v>493</v>
      </c>
      <c r="AE304" t="s" s="26">
        <v>325</v>
      </c>
      <c r="AF304" t="s" s="26">
        <f>_xlfn.CONCAT(AD304,". ",AE304)</f>
        <v>326</v>
      </c>
      <c r="AG304" t="s" s="26">
        <v>145</v>
      </c>
      <c r="AH304" s="27">
        <v>4</v>
      </c>
    </row>
    <row r="305" ht="20.05" customHeight="1">
      <c r="AC305" s="24"/>
      <c r="AD305" t="s" s="25">
        <v>475</v>
      </c>
      <c r="AE305" t="s" s="26">
        <v>323</v>
      </c>
      <c r="AF305" t="s" s="26">
        <f>_xlfn.CONCAT(AD305,". ",AE305)</f>
        <v>324</v>
      </c>
      <c r="AG305" t="s" s="26">
        <v>145</v>
      </c>
      <c r="AH305" s="27">
        <v>4</v>
      </c>
    </row>
    <row r="306" ht="20.05" customHeight="1">
      <c r="AC306" s="24"/>
      <c r="AD306" t="s" s="25">
        <v>420</v>
      </c>
      <c r="AE306" t="s" s="26">
        <v>328</v>
      </c>
      <c r="AF306" t="s" s="26">
        <f>_xlfn.CONCAT(AD306,". ",AE306)</f>
        <v>329</v>
      </c>
      <c r="AG306" t="s" s="26">
        <v>145</v>
      </c>
      <c r="AH306" s="27">
        <v>5</v>
      </c>
    </row>
    <row r="307" ht="20.05" customHeight="1">
      <c r="AC307" s="24"/>
      <c r="AD307" t="s" s="25">
        <v>152</v>
      </c>
      <c r="AE307" t="s" s="26">
        <v>318</v>
      </c>
      <c r="AF307" t="s" s="26">
        <f>_xlfn.CONCAT(AD307,". ",AE307)</f>
        <v>319</v>
      </c>
      <c r="AG307" t="s" s="26">
        <v>145</v>
      </c>
      <c r="AH307" s="27">
        <v>7</v>
      </c>
    </row>
    <row r="308" ht="20.05" customHeight="1">
      <c r="AC308" s="24"/>
      <c r="AD308" t="s" s="25">
        <v>475</v>
      </c>
      <c r="AE308" t="s" s="26">
        <v>310</v>
      </c>
      <c r="AF308" t="s" s="26">
        <f>_xlfn.CONCAT(AD308,". ",AE308)</f>
        <v>316</v>
      </c>
      <c r="AG308" t="s" s="26">
        <v>145</v>
      </c>
      <c r="AH308" s="27">
        <v>9</v>
      </c>
    </row>
    <row r="309" ht="20.05" customHeight="1">
      <c r="AC309" s="24"/>
      <c r="AD309" t="s" s="25">
        <v>479</v>
      </c>
      <c r="AE309" t="s" s="26">
        <v>494</v>
      </c>
      <c r="AF309" t="s" s="26">
        <f>_xlfn.CONCAT(AD309,". ",AE309)</f>
        <v>495</v>
      </c>
      <c r="AG309" t="s" s="26">
        <v>145</v>
      </c>
      <c r="AH309" s="27">
        <v>1</v>
      </c>
    </row>
    <row r="310" ht="20.05" customHeight="1">
      <c r="AC310" s="24"/>
      <c r="AD310" t="s" s="25">
        <v>475</v>
      </c>
      <c r="AE310" t="s" s="26">
        <v>314</v>
      </c>
      <c r="AF310" t="s" s="26">
        <f>_xlfn.CONCAT(AD310,". ",AE310)</f>
        <v>315</v>
      </c>
      <c r="AG310" t="s" s="26">
        <v>145</v>
      </c>
      <c r="AH310" s="27">
        <v>17</v>
      </c>
    </row>
    <row r="311" ht="20.05" customHeight="1">
      <c r="AC311" s="24"/>
      <c r="AD311" t="s" s="25">
        <v>473</v>
      </c>
      <c r="AE311" t="s" s="26">
        <v>146</v>
      </c>
      <c r="AF311" t="s" s="26">
        <f>_xlfn.CONCAT(AD311,". ",AE311)</f>
        <v>189</v>
      </c>
      <c r="AG311" t="s" s="26">
        <v>145</v>
      </c>
      <c r="AH311" s="27">
        <v>42</v>
      </c>
    </row>
    <row r="312" ht="20.05" customHeight="1">
      <c r="AC312" s="24"/>
      <c r="AD312" t="s" s="25">
        <v>474</v>
      </c>
      <c r="AE312" t="s" s="26">
        <v>83</v>
      </c>
      <c r="AF312" t="s" s="26">
        <f>_xlfn.CONCAT(AD312,". ",AE312)</f>
        <v>465</v>
      </c>
      <c r="AG312" t="s" s="26">
        <v>28</v>
      </c>
      <c r="AH312" s="27">
        <v>18</v>
      </c>
    </row>
    <row r="313" ht="20.05" customHeight="1">
      <c r="AC313" s="24"/>
      <c r="AD313" t="s" s="25">
        <v>474</v>
      </c>
      <c r="AE313" t="s" s="26">
        <v>45</v>
      </c>
      <c r="AF313" t="s" s="26">
        <f>_xlfn.CONCAT(AD313,". ",AE313)</f>
        <v>71</v>
      </c>
      <c r="AG313" t="s" s="26">
        <v>28</v>
      </c>
      <c r="AH313" s="27">
        <v>41</v>
      </c>
    </row>
    <row r="314" ht="20.05" customHeight="1">
      <c r="AC314" s="24"/>
      <c r="AD314" t="s" s="25">
        <v>496</v>
      </c>
      <c r="AE314" t="s" s="26">
        <v>497</v>
      </c>
      <c r="AF314" t="s" s="26">
        <f>_xlfn.CONCAT(AD314,". ",AE314)</f>
        <v>498</v>
      </c>
      <c r="AG314" t="s" s="26">
        <v>28</v>
      </c>
      <c r="AH314" s="27">
        <v>7</v>
      </c>
    </row>
    <row r="315" ht="20.05" customHeight="1">
      <c r="AC315" s="24"/>
      <c r="AD315" t="s" s="25">
        <v>499</v>
      </c>
      <c r="AE315" t="s" s="26">
        <v>289</v>
      </c>
      <c r="AF315" t="s" s="26">
        <f>_xlfn.CONCAT(AD315,". ",AE315)</f>
        <v>290</v>
      </c>
      <c r="AG315" t="s" s="26">
        <v>46</v>
      </c>
      <c r="AH315" s="27">
        <v>8</v>
      </c>
    </row>
    <row r="316" ht="20.05" customHeight="1">
      <c r="AC316" s="24"/>
      <c r="AD316" t="s" s="25">
        <v>473</v>
      </c>
      <c r="AE316" t="s" s="26">
        <v>263</v>
      </c>
      <c r="AF316" t="s" s="26">
        <f>_xlfn.CONCAT(AD316,". ",AE316)</f>
        <v>264</v>
      </c>
      <c r="AG316" t="s" s="26">
        <v>46</v>
      </c>
      <c r="AH316" s="27">
        <v>14</v>
      </c>
    </row>
    <row r="317" ht="20.05" customHeight="1">
      <c r="AC317" s="24"/>
      <c r="AD317" t="s" s="25">
        <v>475</v>
      </c>
      <c r="AE317" t="s" s="26">
        <v>118</v>
      </c>
      <c r="AF317" t="s" s="26">
        <f>_xlfn.CONCAT(AD317,". ",AE317)</f>
        <v>500</v>
      </c>
      <c r="AG317" t="s" s="26">
        <v>28</v>
      </c>
      <c r="AH317" s="27">
        <v>17</v>
      </c>
    </row>
    <row r="318" ht="20.05" customHeight="1">
      <c r="AC318" s="24"/>
      <c r="AD318" t="s" s="25">
        <v>474</v>
      </c>
      <c r="AE318" t="s" s="26">
        <v>501</v>
      </c>
      <c r="AF318" t="s" s="26">
        <f>_xlfn.CONCAT(AD318,". ",AE318)</f>
        <v>502</v>
      </c>
      <c r="AG318" t="s" s="26">
        <v>46</v>
      </c>
      <c r="AH318" s="27">
        <v>6</v>
      </c>
    </row>
    <row r="319" ht="20.05" customHeight="1">
      <c r="AC319" s="24"/>
      <c r="AD319" t="s" s="25">
        <v>473</v>
      </c>
      <c r="AE319" t="s" s="26">
        <v>503</v>
      </c>
      <c r="AF319" t="s" s="26">
        <f>_xlfn.CONCAT(AD319,". ",AE319)</f>
        <v>504</v>
      </c>
      <c r="AG319" t="s" s="26">
        <v>46</v>
      </c>
      <c r="AH319" s="27">
        <v>3</v>
      </c>
    </row>
    <row r="320" ht="20.05" customHeight="1">
      <c r="AC320" s="24"/>
      <c r="AD320" t="s" s="25">
        <v>474</v>
      </c>
      <c r="AE320" t="s" s="26">
        <v>153</v>
      </c>
      <c r="AF320" t="s" s="26">
        <f>_xlfn.CONCAT(AD320,". ",AE320)</f>
        <v>156</v>
      </c>
      <c r="AG320" t="s" s="26">
        <v>152</v>
      </c>
      <c r="AH320" s="27">
        <v>4</v>
      </c>
    </row>
    <row r="321" ht="20.05" customHeight="1">
      <c r="AC321" s="24"/>
      <c r="AD321" t="s" s="25">
        <v>474</v>
      </c>
      <c r="AE321" t="s" s="26">
        <v>209</v>
      </c>
      <c r="AF321" t="s" s="26">
        <f>_xlfn.CONCAT(AD321,". ",AE321)</f>
        <v>210</v>
      </c>
      <c r="AG321" t="s" s="26">
        <v>152</v>
      </c>
      <c r="AH321" s="27">
        <v>1</v>
      </c>
    </row>
    <row r="322" ht="20.05" customHeight="1">
      <c r="AC322" s="24"/>
      <c r="AD322" t="s" s="25">
        <v>499</v>
      </c>
      <c r="AE322" t="s" s="26">
        <v>505</v>
      </c>
      <c r="AF322" t="s" s="26">
        <f>_xlfn.CONCAT(AD322,". ",AE322)</f>
        <v>506</v>
      </c>
      <c r="AG322" t="s" s="26">
        <v>152</v>
      </c>
      <c r="AH322" s="27">
        <v>1</v>
      </c>
    </row>
    <row r="323" ht="20.05" customHeight="1">
      <c r="AC323" s="24"/>
      <c r="AD323" t="s" s="25">
        <v>499</v>
      </c>
      <c r="AE323" t="s" s="26">
        <v>193</v>
      </c>
      <c r="AF323" t="s" s="26">
        <f>_xlfn.CONCAT(AD323,". ",AE323)</f>
        <v>194</v>
      </c>
      <c r="AG323" t="s" s="26">
        <v>152</v>
      </c>
      <c r="AH323" s="27">
        <v>1</v>
      </c>
    </row>
    <row r="324" ht="20.05" customHeight="1">
      <c r="AC324" s="24"/>
      <c r="AD324" t="s" s="25">
        <v>507</v>
      </c>
      <c r="AE324" t="s" s="26">
        <v>169</v>
      </c>
      <c r="AF324" t="s" s="26">
        <f>_xlfn.CONCAT(AD324,". ",AE324)</f>
        <v>170</v>
      </c>
      <c r="AG324" t="s" s="26">
        <v>152</v>
      </c>
      <c r="AH324" s="27">
        <v>1</v>
      </c>
    </row>
    <row r="325" ht="20.05" customHeight="1">
      <c r="AC325" s="24"/>
      <c r="AD325" t="s" s="25">
        <v>474</v>
      </c>
      <c r="AE325" t="s" s="26">
        <v>131</v>
      </c>
      <c r="AF325" t="s" s="26">
        <f>_xlfn.CONCAT(AD325,". ",AE325)</f>
        <v>191</v>
      </c>
      <c r="AG325" t="s" s="26">
        <v>152</v>
      </c>
      <c r="AH325" s="27">
        <v>1</v>
      </c>
    </row>
    <row r="326" ht="20.05" customHeight="1">
      <c r="AC326" s="24"/>
      <c r="AD326" t="s" s="25">
        <v>475</v>
      </c>
      <c r="AE326" t="s" s="26">
        <v>163</v>
      </c>
      <c r="AF326" t="s" s="26">
        <f>_xlfn.CONCAT(AD326,". ",AE326)</f>
        <v>175</v>
      </c>
      <c r="AG326" t="s" s="26">
        <v>152</v>
      </c>
      <c r="AH326" s="27">
        <v>1</v>
      </c>
    </row>
    <row r="327" ht="20.05" customHeight="1">
      <c r="AC327" s="24"/>
      <c r="AD327" t="s" s="25">
        <v>508</v>
      </c>
      <c r="AE327" t="s" s="26">
        <v>179</v>
      </c>
      <c r="AF327" t="s" s="26">
        <f>_xlfn.CONCAT(AD327,". ",AE327)</f>
        <v>180</v>
      </c>
      <c r="AG327" t="s" s="26">
        <v>152</v>
      </c>
      <c r="AH327" s="27">
        <v>1</v>
      </c>
    </row>
    <row r="328" ht="20.05" customHeight="1">
      <c r="AC328" s="24"/>
      <c r="AD328" t="s" s="25">
        <v>478</v>
      </c>
      <c r="AE328" t="s" s="26">
        <v>344</v>
      </c>
      <c r="AF328" t="s" s="26">
        <f>_xlfn.CONCAT(AD328,". ",AE328)</f>
        <v>345</v>
      </c>
      <c r="AG328" t="s" s="26">
        <v>341</v>
      </c>
      <c r="AH328" s="27">
        <v>4</v>
      </c>
    </row>
    <row r="329" ht="20.05" customHeight="1">
      <c r="AC329" s="24"/>
      <c r="AD329" t="s" s="25">
        <v>485</v>
      </c>
      <c r="AE329" t="s" s="26">
        <v>371</v>
      </c>
      <c r="AF329" t="s" s="26">
        <f>_xlfn.CONCAT(AD329,". ",AE329)</f>
        <v>372</v>
      </c>
      <c r="AG329" t="s" s="26">
        <v>341</v>
      </c>
      <c r="AH329" s="27">
        <v>1</v>
      </c>
    </row>
    <row r="330" ht="20.05" customHeight="1">
      <c r="AC330" s="24"/>
      <c r="AD330" t="s" s="25">
        <v>477</v>
      </c>
      <c r="AE330" t="s" s="26">
        <v>400</v>
      </c>
      <c r="AF330" t="s" s="26">
        <f>_xlfn.CONCAT(AD330,". ",AE330)</f>
        <v>401</v>
      </c>
      <c r="AG330" t="s" s="26">
        <v>341</v>
      </c>
      <c r="AH330" s="27">
        <v>2</v>
      </c>
    </row>
    <row r="331" ht="20.05" customHeight="1">
      <c r="AC331" s="24"/>
      <c r="AD331" t="s" s="25">
        <v>477</v>
      </c>
      <c r="AE331" t="s" s="26">
        <v>385</v>
      </c>
      <c r="AF331" t="s" s="26">
        <f>_xlfn.CONCAT(AD331,". ",AE331)</f>
        <v>386</v>
      </c>
      <c r="AG331" t="s" s="26">
        <v>341</v>
      </c>
      <c r="AH331" s="27">
        <v>1</v>
      </c>
    </row>
    <row r="332" ht="20.05" customHeight="1">
      <c r="AC332" s="24"/>
      <c r="AD332" t="s" s="25">
        <v>420</v>
      </c>
      <c r="AE332" t="s" s="26">
        <v>367</v>
      </c>
      <c r="AF332" t="s" s="26">
        <f>_xlfn.CONCAT(AD332,". ",AE332)</f>
        <v>368</v>
      </c>
      <c r="AG332" t="s" s="26">
        <v>341</v>
      </c>
      <c r="AH332" s="27">
        <v>2</v>
      </c>
    </row>
    <row r="333" ht="20.05" customHeight="1">
      <c r="AC333" s="24"/>
      <c r="AD333" t="s" s="25">
        <v>509</v>
      </c>
      <c r="AE333" t="s" s="26">
        <v>414</v>
      </c>
      <c r="AF333" t="s" s="26">
        <f>_xlfn.CONCAT(AD333,". ",AE333)</f>
        <v>415</v>
      </c>
      <c r="AG333" t="s" s="26">
        <v>341</v>
      </c>
      <c r="AH333" s="27">
        <v>1</v>
      </c>
    </row>
    <row r="334" ht="20.05" customHeight="1">
      <c r="AC334" s="24"/>
      <c r="AD334" t="s" s="25">
        <v>487</v>
      </c>
      <c r="AE334" t="s" s="26">
        <v>358</v>
      </c>
      <c r="AF334" t="s" s="26">
        <f>_xlfn.CONCAT(AD334,". ",AE334)</f>
        <v>359</v>
      </c>
      <c r="AG334" t="s" s="26">
        <v>341</v>
      </c>
      <c r="AH334" s="27">
        <v>3</v>
      </c>
    </row>
    <row r="335" ht="20.05" customHeight="1">
      <c r="AC335" s="24"/>
      <c r="AD335" t="s" s="25">
        <v>487</v>
      </c>
      <c r="AE335" t="s" s="26">
        <v>382</v>
      </c>
      <c r="AF335" t="s" s="26">
        <f>_xlfn.CONCAT(AD335,". ",AE335)</f>
        <v>411</v>
      </c>
      <c r="AG335" t="s" s="26">
        <v>341</v>
      </c>
      <c r="AH335" s="27">
        <v>1</v>
      </c>
    </row>
    <row r="336" ht="20.05" customHeight="1">
      <c r="AC336" s="24"/>
      <c r="AD336" t="s" s="25">
        <v>481</v>
      </c>
      <c r="AE336" t="s" s="26">
        <v>142</v>
      </c>
      <c r="AF336" t="s" s="26">
        <f>_xlfn.CONCAT(AD336,". ",AE336)</f>
        <v>510</v>
      </c>
      <c r="AG336" t="s" s="26">
        <v>28</v>
      </c>
      <c r="AH336" s="27">
        <v>8</v>
      </c>
    </row>
    <row r="337" ht="20.05" customHeight="1">
      <c r="AC337" s="24"/>
      <c r="AD337" t="s" s="25">
        <v>481</v>
      </c>
      <c r="AE337" t="s" s="26">
        <v>511</v>
      </c>
      <c r="AF337" t="s" s="26">
        <f>_xlfn.CONCAT(AD337,". ",AE337)</f>
        <v>512</v>
      </c>
      <c r="AG337" t="s" s="26">
        <v>46</v>
      </c>
      <c r="AH337" s="27">
        <v>2</v>
      </c>
    </row>
    <row r="338" ht="20.05" customHeight="1">
      <c r="AC338" s="24"/>
      <c r="AD338" t="s" s="25">
        <v>485</v>
      </c>
      <c r="AE338" t="s" s="26">
        <v>248</v>
      </c>
      <c r="AF338" t="s" s="26">
        <f>_xlfn.CONCAT(AD338,". ",AE338)</f>
        <v>285</v>
      </c>
      <c r="AG338" t="s" s="26">
        <v>46</v>
      </c>
      <c r="AH338" s="27">
        <v>10</v>
      </c>
    </row>
    <row r="339" ht="20.05" customHeight="1">
      <c r="AC339" s="24"/>
      <c r="AD339" t="s" s="25">
        <v>478</v>
      </c>
      <c r="AE339" t="s" s="26">
        <v>513</v>
      </c>
      <c r="AF339" t="s" s="26">
        <f>_xlfn.CONCAT(AD339,". ",AE339)</f>
        <v>514</v>
      </c>
      <c r="AG339" t="s" s="26">
        <v>28</v>
      </c>
      <c r="AH339" s="27">
        <v>3</v>
      </c>
    </row>
    <row r="340" ht="20.05" customHeight="1">
      <c r="AC340" s="24"/>
      <c r="AD340" t="s" s="25">
        <v>474</v>
      </c>
      <c r="AE340" t="s" s="26">
        <v>302</v>
      </c>
      <c r="AF340" t="s" s="26">
        <f>_xlfn.CONCAT(AD340,". ",AE340)</f>
        <v>303</v>
      </c>
      <c r="AG340" t="s" s="26">
        <v>46</v>
      </c>
      <c r="AH340" s="27">
        <v>8</v>
      </c>
    </row>
    <row r="341" ht="20.05" customHeight="1">
      <c r="AC341" s="24"/>
      <c r="AD341" t="s" s="25">
        <v>515</v>
      </c>
      <c r="AE341" t="s" s="26">
        <v>516</v>
      </c>
      <c r="AF341" t="s" s="26">
        <f>_xlfn.CONCAT(AD341,". ",AE341)</f>
        <v>517</v>
      </c>
      <c r="AG341" t="s" s="26">
        <v>46</v>
      </c>
      <c r="AH341" s="27">
        <v>6</v>
      </c>
    </row>
    <row r="342" ht="20.05" customHeight="1">
      <c r="AC342" s="24"/>
      <c r="AD342" t="s" s="25">
        <v>487</v>
      </c>
      <c r="AE342" t="s" s="26">
        <v>253</v>
      </c>
      <c r="AF342" t="s" s="26">
        <f>_xlfn.CONCAT(AD342,". ",AE342)</f>
        <v>518</v>
      </c>
      <c r="AG342" t="s" s="26">
        <v>46</v>
      </c>
      <c r="AH342" s="27">
        <v>6</v>
      </c>
    </row>
    <row r="343" ht="20.05" customHeight="1">
      <c r="AC343" s="24"/>
      <c r="AD343" t="s" s="25">
        <v>473</v>
      </c>
      <c r="AE343" t="s" s="26">
        <v>519</v>
      </c>
      <c r="AF343" t="s" s="26">
        <f>_xlfn.CONCAT(AD343,". ",AE343)</f>
        <v>520</v>
      </c>
      <c r="AG343" t="s" s="26">
        <v>28</v>
      </c>
      <c r="AH343" s="27">
        <v>1</v>
      </c>
    </row>
    <row r="344" ht="20.05" customHeight="1">
      <c r="AC344" s="24"/>
      <c r="AD344" t="s" s="25">
        <v>481</v>
      </c>
      <c r="AE344" t="s" s="26">
        <v>521</v>
      </c>
      <c r="AF344" t="s" s="26">
        <f>_xlfn.CONCAT(AD344,". ",AE344)</f>
        <v>522</v>
      </c>
      <c r="AG344" t="s" s="26">
        <v>28</v>
      </c>
      <c r="AH344" s="27">
        <v>4</v>
      </c>
    </row>
    <row r="345" ht="20.05" customHeight="1">
      <c r="AC345" s="24"/>
      <c r="AD345" t="s" s="25">
        <v>475</v>
      </c>
      <c r="AE345" t="s" s="26">
        <v>523</v>
      </c>
      <c r="AF345" t="s" s="26">
        <f>_xlfn.CONCAT(AD345,". ",AE345)</f>
        <v>524</v>
      </c>
      <c r="AG345" t="s" s="26">
        <v>28</v>
      </c>
      <c r="AH345" s="27">
        <v>1</v>
      </c>
    </row>
    <row r="346" ht="20.05" customHeight="1">
      <c r="AC346" s="24"/>
      <c r="AD346" t="s" s="25">
        <v>152</v>
      </c>
      <c r="AE346" t="s" s="26">
        <v>165</v>
      </c>
      <c r="AF346" t="s" s="26">
        <f>_xlfn.CONCAT(AD346,". ",AE346)</f>
        <v>525</v>
      </c>
      <c r="AG346" t="s" s="26">
        <v>28</v>
      </c>
      <c r="AH346" s="27">
        <v>7</v>
      </c>
    </row>
    <row r="347" ht="20.05" customHeight="1">
      <c r="AC347" s="24"/>
      <c r="AD347" t="s" s="25">
        <v>474</v>
      </c>
      <c r="AE347" t="s" s="26">
        <v>526</v>
      </c>
      <c r="AF347" t="s" s="26">
        <f>_xlfn.CONCAT(AD347,". ",AE347)</f>
        <v>527</v>
      </c>
      <c r="AG347" t="s" s="26">
        <v>46</v>
      </c>
      <c r="AH347" s="27">
        <v>1</v>
      </c>
    </row>
    <row r="348" ht="20.05" customHeight="1">
      <c r="AC348" s="24"/>
      <c r="AD348" t="s" s="25">
        <v>474</v>
      </c>
      <c r="AE348" t="s" s="26">
        <v>55</v>
      </c>
      <c r="AF348" t="s" s="26">
        <f>_xlfn.CONCAT(AD348,". ",AE348)</f>
        <v>528</v>
      </c>
      <c r="AG348" t="s" s="26">
        <v>28</v>
      </c>
      <c r="AH348" s="27">
        <v>12</v>
      </c>
    </row>
    <row r="349" ht="20.05" customHeight="1">
      <c r="AC349" s="24"/>
      <c r="AD349" t="s" s="25">
        <v>499</v>
      </c>
      <c r="AE349" t="s" s="26">
        <v>202</v>
      </c>
      <c r="AF349" t="s" s="26">
        <f>_xlfn.CONCAT(AD349,". ",AE349)</f>
        <v>529</v>
      </c>
      <c r="AG349" t="s" s="26">
        <v>46</v>
      </c>
      <c r="AH349" s="27">
        <v>2</v>
      </c>
    </row>
    <row r="350" ht="20.05" customHeight="1">
      <c r="AC350" s="24"/>
      <c r="AD350" t="s" s="25">
        <v>475</v>
      </c>
      <c r="AE350" t="s" s="26">
        <v>298</v>
      </c>
      <c r="AF350" t="s" s="26">
        <f>_xlfn.CONCAT(AD350,". ",AE350)</f>
        <v>530</v>
      </c>
      <c r="AG350" t="s" s="26">
        <v>46</v>
      </c>
      <c r="AH350" s="27">
        <v>1</v>
      </c>
    </row>
    <row r="351" ht="20.05" customHeight="1">
      <c r="AC351" s="24"/>
      <c r="AD351" t="s" s="25">
        <v>474</v>
      </c>
      <c r="AE351" t="s" s="26">
        <v>254</v>
      </c>
      <c r="AF351" t="s" s="26">
        <f>_xlfn.CONCAT(AD351,". ",AE351)</f>
        <v>255</v>
      </c>
      <c r="AG351" t="s" s="26">
        <v>75</v>
      </c>
      <c r="AH351" s="27">
        <v>17</v>
      </c>
    </row>
    <row r="352" ht="20.05" customHeight="1">
      <c r="AC352" s="24"/>
      <c r="AD352" t="s" s="25">
        <v>473</v>
      </c>
      <c r="AE352" t="s" s="26">
        <v>269</v>
      </c>
      <c r="AF352" t="s" s="26">
        <f>_xlfn.CONCAT(AD352,". ",AE352)</f>
        <v>270</v>
      </c>
      <c r="AG352" t="s" s="26">
        <v>75</v>
      </c>
      <c r="AH352" s="27">
        <v>10</v>
      </c>
    </row>
    <row r="353" ht="20.05" customHeight="1">
      <c r="AC353" s="24"/>
      <c r="AD353" t="s" s="25">
        <v>474</v>
      </c>
      <c r="AE353" t="s" s="26">
        <v>173</v>
      </c>
      <c r="AF353" t="s" s="26">
        <f>_xlfn.CONCAT(AD353,". ",AE353)</f>
        <v>174</v>
      </c>
      <c r="AG353" t="s" s="26">
        <v>75</v>
      </c>
      <c r="AH353" s="27">
        <v>20</v>
      </c>
    </row>
    <row r="354" ht="20.05" customHeight="1">
      <c r="AC354" s="24"/>
      <c r="AD354" t="s" s="25">
        <v>485</v>
      </c>
      <c r="AE354" t="s" s="26">
        <v>221</v>
      </c>
      <c r="AF354" t="s" s="26">
        <f>_xlfn.CONCAT(AD354,". ",AE354)</f>
        <v>531</v>
      </c>
      <c r="AG354" t="s" s="26">
        <v>75</v>
      </c>
      <c r="AH354" s="27">
        <v>1</v>
      </c>
    </row>
    <row r="355" ht="20.05" customHeight="1">
      <c r="AC355" s="24"/>
      <c r="AD355" t="s" s="25">
        <v>475</v>
      </c>
      <c r="AE355" t="s" s="26">
        <v>68</v>
      </c>
      <c r="AF355" t="s" s="26">
        <f>_xlfn.CONCAT(AD355,". ",AE355)</f>
        <v>137</v>
      </c>
      <c r="AG355" t="s" s="26">
        <v>28</v>
      </c>
      <c r="AH355" s="27">
        <v>13</v>
      </c>
    </row>
    <row r="356" ht="20.05" customHeight="1">
      <c r="AC356" s="24"/>
      <c r="AD356" t="s" s="25">
        <v>480</v>
      </c>
      <c r="AE356" t="s" s="26">
        <v>532</v>
      </c>
      <c r="AF356" t="s" s="26">
        <f>_xlfn.CONCAT(AD356,". ",AE356)</f>
        <v>533</v>
      </c>
      <c r="AG356" t="s" s="26">
        <v>28</v>
      </c>
      <c r="AH356" s="27">
        <v>2</v>
      </c>
    </row>
    <row r="357" ht="20.05" customHeight="1">
      <c r="AC357" s="24"/>
      <c r="AD357" t="s" s="25">
        <v>474</v>
      </c>
      <c r="AE357" t="s" s="26">
        <v>43</v>
      </c>
      <c r="AF357" t="s" s="26">
        <f>_xlfn.CONCAT(AD357,". ",AE357)</f>
        <v>108</v>
      </c>
      <c r="AG357" t="s" s="26">
        <v>28</v>
      </c>
      <c r="AH357" s="27">
        <v>35</v>
      </c>
    </row>
    <row r="358" ht="20.05" customHeight="1">
      <c r="AC358" s="24"/>
      <c r="AD358" t="s" s="25">
        <v>487</v>
      </c>
      <c r="AE358" t="s" s="26">
        <v>57</v>
      </c>
      <c r="AF358" t="s" s="26">
        <f>_xlfn.CONCAT(AD358,". ",AE358)</f>
        <v>58</v>
      </c>
      <c r="AG358" t="s" s="26">
        <v>28</v>
      </c>
      <c r="AH358" s="27">
        <v>50</v>
      </c>
    </row>
    <row r="359" ht="20.05" customHeight="1">
      <c r="AC359" s="24"/>
      <c r="AD359" t="s" s="25">
        <v>474</v>
      </c>
      <c r="AE359" t="s" s="26">
        <v>148</v>
      </c>
      <c r="AF359" t="s" s="26">
        <f>_xlfn.CONCAT(AD359,". ",AE359)</f>
        <v>149</v>
      </c>
      <c r="AG359" t="s" s="26">
        <v>28</v>
      </c>
      <c r="AH359" s="27">
        <v>24</v>
      </c>
    </row>
    <row r="360" ht="20.05" customHeight="1">
      <c r="AC360" s="24"/>
      <c r="AD360" t="s" s="25">
        <v>474</v>
      </c>
      <c r="AE360" t="s" s="26">
        <v>534</v>
      </c>
      <c r="AF360" t="s" s="26">
        <f>_xlfn.CONCAT(AD360,". ",AE360)</f>
        <v>535</v>
      </c>
      <c r="AG360" t="s" s="26">
        <v>28</v>
      </c>
      <c r="AH360" s="27">
        <v>1</v>
      </c>
    </row>
    <row r="361" ht="20.05" customHeight="1">
      <c r="AC361" s="24"/>
      <c r="AD361" t="s" s="25">
        <v>475</v>
      </c>
      <c r="AE361" t="s" s="26">
        <v>110</v>
      </c>
      <c r="AF361" t="s" s="26">
        <f>_xlfn.CONCAT(AD361,". ",AE361)</f>
        <v>111</v>
      </c>
      <c r="AG361" t="s" s="26">
        <v>28</v>
      </c>
      <c r="AH361" s="27">
        <v>26</v>
      </c>
    </row>
    <row r="362" ht="20.05" customHeight="1">
      <c r="AC362" s="24"/>
      <c r="AD362" t="s" s="25">
        <v>487</v>
      </c>
      <c r="AE362" t="s" s="26">
        <v>81</v>
      </c>
      <c r="AF362" t="s" s="26">
        <f>_xlfn.CONCAT(AD362,". ",AE362)</f>
        <v>129</v>
      </c>
      <c r="AG362" t="s" s="26">
        <v>28</v>
      </c>
      <c r="AH362" s="27">
        <v>23</v>
      </c>
    </row>
    <row r="363" ht="20.05" customHeight="1">
      <c r="AC363" s="24"/>
      <c r="AD363" t="s" s="25">
        <v>481</v>
      </c>
      <c r="AE363" t="s" s="26">
        <v>125</v>
      </c>
      <c r="AF363" t="s" s="26">
        <f>_xlfn.CONCAT(AD363,". ",AE363)</f>
        <v>126</v>
      </c>
      <c r="AG363" t="s" s="26">
        <v>46</v>
      </c>
      <c r="AH363" s="27">
        <v>46</v>
      </c>
    </row>
    <row r="364" ht="20.05" customHeight="1">
      <c r="AC364" s="24"/>
      <c r="AD364" t="s" s="25">
        <v>474</v>
      </c>
      <c r="AE364" t="s" s="26">
        <v>48</v>
      </c>
      <c r="AF364" t="s" s="26">
        <f>_xlfn.CONCAT(AD364,". ",AE364)</f>
        <v>49</v>
      </c>
      <c r="AG364" t="s" s="26">
        <v>46</v>
      </c>
      <c r="AH364" s="27">
        <v>65</v>
      </c>
    </row>
    <row r="365" ht="20.05" customHeight="1">
      <c r="AC365" s="24"/>
      <c r="AD365" t="s" s="25">
        <v>479</v>
      </c>
      <c r="AE365" t="s" s="26">
        <v>199</v>
      </c>
      <c r="AF365" t="s" s="26">
        <f>_xlfn.CONCAT(AD365,". ",AE365)</f>
        <v>200</v>
      </c>
      <c r="AG365" t="s" s="26">
        <v>46</v>
      </c>
      <c r="AH365" s="27">
        <v>33</v>
      </c>
    </row>
    <row r="366" ht="20.05" customHeight="1">
      <c r="AC366" s="24"/>
      <c r="AD366" t="s" s="25">
        <v>499</v>
      </c>
      <c r="AE366" t="s" s="26">
        <v>187</v>
      </c>
      <c r="AF366" t="s" s="26">
        <f>_xlfn.CONCAT(AD366,". ",AE366)</f>
        <v>188</v>
      </c>
      <c r="AG366" t="s" s="26">
        <v>46</v>
      </c>
      <c r="AH366" s="27">
        <v>38</v>
      </c>
    </row>
    <row r="367" ht="20.05" customHeight="1">
      <c r="AC367" s="24"/>
      <c r="AD367" t="s" s="25">
        <v>479</v>
      </c>
      <c r="AE367" t="s" s="26">
        <v>134</v>
      </c>
      <c r="AF367" t="s" s="26">
        <f>_xlfn.CONCAT(AD367,". ",AE367)</f>
        <v>135</v>
      </c>
      <c r="AG367" t="s" s="26">
        <v>46</v>
      </c>
      <c r="AH367" s="27">
        <v>39</v>
      </c>
    </row>
    <row r="368" ht="20.05" customHeight="1">
      <c r="AC368" s="24"/>
      <c r="AD368" t="s" s="25">
        <v>474</v>
      </c>
      <c r="AE368" t="s" s="26">
        <v>73</v>
      </c>
      <c r="AF368" t="s" s="26">
        <f>_xlfn.CONCAT(AD368,". ",AE368)</f>
        <v>74</v>
      </c>
      <c r="AG368" t="s" s="26">
        <v>46</v>
      </c>
      <c r="AH368" s="27">
        <v>56</v>
      </c>
    </row>
    <row r="369" ht="20.05" customHeight="1">
      <c r="AC369" s="24"/>
      <c r="AD369" t="s" s="25">
        <v>481</v>
      </c>
      <c r="AE369" t="s" s="26">
        <v>61</v>
      </c>
      <c r="AF369" t="s" s="26">
        <f>_xlfn.CONCAT(AD369,". ",AE369)</f>
        <v>235</v>
      </c>
      <c r="AG369" t="s" s="26">
        <v>46</v>
      </c>
      <c r="AH369" s="27">
        <v>29</v>
      </c>
    </row>
    <row r="370" ht="20.05" customHeight="1">
      <c r="AC370" s="24"/>
      <c r="AD370" t="s" s="25">
        <v>475</v>
      </c>
      <c r="AE370" t="s" s="26">
        <v>257</v>
      </c>
      <c r="AF370" t="s" s="26">
        <f>_xlfn.CONCAT(AD370,". ",AE370)</f>
        <v>258</v>
      </c>
      <c r="AG370" t="s" s="26">
        <v>46</v>
      </c>
      <c r="AH370" s="27">
        <v>20</v>
      </c>
    </row>
    <row r="371" ht="20.05" customHeight="1">
      <c r="AC371" s="24"/>
      <c r="AD371" t="s" s="25">
        <v>479</v>
      </c>
      <c r="AE371" t="s" s="26">
        <v>223</v>
      </c>
      <c r="AF371" t="s" s="26">
        <f>_xlfn.CONCAT(AD371,". ",AE371)</f>
        <v>224</v>
      </c>
      <c r="AG371" t="s" s="26">
        <v>46</v>
      </c>
      <c r="AH371" s="27">
        <v>14</v>
      </c>
    </row>
    <row r="372" ht="20.05" customHeight="1">
      <c r="AC372" s="24"/>
      <c r="AD372" t="s" s="25">
        <v>473</v>
      </c>
      <c r="AE372" t="s" s="26">
        <v>98</v>
      </c>
      <c r="AF372" t="s" s="26">
        <f>_xlfn.CONCAT(AD372,". ",AE372)</f>
        <v>99</v>
      </c>
      <c r="AG372" t="s" s="26">
        <v>46</v>
      </c>
      <c r="AH372" s="27">
        <v>56</v>
      </c>
    </row>
    <row r="373" ht="20.05" customHeight="1">
      <c r="AC373" s="24"/>
      <c r="AD373" t="s" s="25">
        <v>485</v>
      </c>
      <c r="AE373" t="s" s="26">
        <v>208</v>
      </c>
      <c r="AF373" t="s" s="26">
        <f>_xlfn.CONCAT(AD373,". ",AE373)</f>
        <v>271</v>
      </c>
      <c r="AG373" t="s" s="26">
        <v>46</v>
      </c>
      <c r="AH373" s="27">
        <v>11</v>
      </c>
    </row>
    <row r="374" ht="20.05" customHeight="1">
      <c r="AC374" s="24"/>
      <c r="AD374" t="s" s="25">
        <v>474</v>
      </c>
      <c r="AE374" t="s" s="26">
        <v>266</v>
      </c>
      <c r="AF374" t="s" s="26">
        <f>_xlfn.CONCAT(AD374,". ",AE374)</f>
        <v>267</v>
      </c>
      <c r="AG374" t="s" s="26">
        <v>46</v>
      </c>
      <c r="AH374" s="27">
        <v>12</v>
      </c>
    </row>
    <row r="375" ht="20.05" customHeight="1">
      <c r="AC375" s="24"/>
      <c r="AD375" t="s" s="25">
        <v>499</v>
      </c>
      <c r="AE375" t="s" s="26">
        <v>311</v>
      </c>
      <c r="AF375" t="s" s="26">
        <f>_xlfn.CONCAT(AD375,". ",AE375)</f>
        <v>312</v>
      </c>
      <c r="AG375" t="s" s="26">
        <v>145</v>
      </c>
      <c r="AH375" s="27">
        <v>14</v>
      </c>
    </row>
    <row r="376" ht="20.05" customHeight="1">
      <c r="AC376" s="24"/>
      <c r="AD376" t="s" s="25">
        <v>499</v>
      </c>
      <c r="AE376" t="s" s="26">
        <v>536</v>
      </c>
      <c r="AF376" t="s" s="26">
        <f>_xlfn.CONCAT(AD376,". ",AE376)</f>
        <v>537</v>
      </c>
      <c r="AG376" t="s" s="26">
        <v>145</v>
      </c>
      <c r="AH376" s="27">
        <v>1</v>
      </c>
    </row>
    <row r="377" ht="20.05" customHeight="1">
      <c r="AC377" s="24"/>
      <c r="AD377" t="s" s="25">
        <v>473</v>
      </c>
      <c r="AE377" t="s" s="26">
        <v>307</v>
      </c>
      <c r="AF377" t="s" s="26">
        <f>_xlfn.CONCAT(AD377,". ",AE377)</f>
        <v>308</v>
      </c>
      <c r="AG377" t="s" s="26">
        <v>145</v>
      </c>
      <c r="AH377" s="27">
        <v>18</v>
      </c>
    </row>
    <row r="378" ht="20.05" customHeight="1">
      <c r="AC378" s="24"/>
      <c r="AD378" t="s" s="25">
        <v>485</v>
      </c>
      <c r="AE378" t="s" s="26">
        <v>214</v>
      </c>
      <c r="AF378" t="s" s="26">
        <f>_xlfn.CONCAT(AD378,". ",AE378)</f>
        <v>282</v>
      </c>
      <c r="AG378" t="s" s="26">
        <v>145</v>
      </c>
      <c r="AH378" s="27">
        <v>27</v>
      </c>
    </row>
    <row r="379" ht="20.05" customHeight="1">
      <c r="AC379" s="24"/>
      <c r="AD379" t="s" s="25">
        <v>479</v>
      </c>
      <c r="AE379" t="s" s="26">
        <v>128</v>
      </c>
      <c r="AF379" t="s" s="26">
        <f>_xlfn.CONCAT(AD379,". ",AE379)</f>
        <v>304</v>
      </c>
      <c r="AG379" t="s" s="26">
        <v>28</v>
      </c>
      <c r="AH379" s="27">
        <v>11</v>
      </c>
    </row>
    <row r="380" ht="20.05" customHeight="1">
      <c r="AC380" s="24"/>
      <c r="AD380" t="s" s="25">
        <v>538</v>
      </c>
      <c r="AE380" t="s" s="26">
        <v>48</v>
      </c>
      <c r="AF380" t="s" s="26">
        <f>_xlfn.CONCAT(AD380,". ",AE380)</f>
        <v>539</v>
      </c>
      <c r="AG380" t="s" s="26">
        <v>46</v>
      </c>
      <c r="AH380" s="27">
        <v>1</v>
      </c>
    </row>
    <row r="381" ht="20.05" customHeight="1">
      <c r="AC381" s="24"/>
      <c r="AD381" t="s" s="25">
        <v>474</v>
      </c>
      <c r="AE381" t="s" s="26">
        <v>208</v>
      </c>
      <c r="AF381" t="s" s="26">
        <f>_xlfn.CONCAT(AD381,". ",AE381)</f>
        <v>540</v>
      </c>
      <c r="AG381" t="s" s="26">
        <v>28</v>
      </c>
      <c r="AH381" s="27">
        <v>8</v>
      </c>
    </row>
    <row r="382" ht="20.05" customHeight="1">
      <c r="AC382" s="24"/>
      <c r="AD382" t="s" s="25">
        <v>474</v>
      </c>
      <c r="AE382" t="s" s="26">
        <v>96</v>
      </c>
      <c r="AF382" t="s" s="26">
        <f>_xlfn.CONCAT(AD382,". ",AE382)</f>
        <v>144</v>
      </c>
      <c r="AG382" t="s" s="26">
        <v>28</v>
      </c>
      <c r="AH382" s="27">
        <v>13</v>
      </c>
    </row>
    <row r="383" ht="20.05" customHeight="1">
      <c r="AC383" s="24"/>
      <c r="AD383" t="s" s="25">
        <v>480</v>
      </c>
      <c r="AE383" t="s" s="26">
        <v>541</v>
      </c>
      <c r="AF383" t="s" s="26">
        <f>_xlfn.CONCAT(AD383,". ",AE383)</f>
        <v>542</v>
      </c>
      <c r="AG383" t="s" s="26">
        <v>152</v>
      </c>
      <c r="AH383" s="27">
        <v>1</v>
      </c>
    </row>
    <row r="384" ht="20.05" customHeight="1">
      <c r="AC384" s="24"/>
      <c r="AD384" t="s" s="25">
        <v>473</v>
      </c>
      <c r="AE384" t="s" s="26">
        <v>160</v>
      </c>
      <c r="AF384" t="s" s="26">
        <f>_xlfn.CONCAT(AD384,". ",AE384)</f>
        <v>161</v>
      </c>
      <c r="AG384" t="s" s="26">
        <v>152</v>
      </c>
      <c r="AH384" s="27">
        <v>1</v>
      </c>
    </row>
    <row r="385" ht="20.05" customHeight="1">
      <c r="AC385" s="24"/>
      <c r="AD385" t="s" s="25">
        <v>493</v>
      </c>
      <c r="AE385" t="s" s="26">
        <v>155</v>
      </c>
      <c r="AF385" t="s" s="26">
        <f>_xlfn.CONCAT(AD385,". ",AE385)</f>
        <v>164</v>
      </c>
      <c r="AG385" t="s" s="26">
        <v>152</v>
      </c>
      <c r="AH385" s="27">
        <v>1</v>
      </c>
    </row>
    <row r="386" ht="20.05" customHeight="1">
      <c r="AC386" s="24"/>
      <c r="AD386" t="s" s="25">
        <v>474</v>
      </c>
      <c r="AE386" t="s" s="26">
        <v>89</v>
      </c>
      <c r="AF386" t="s" s="26">
        <f>_xlfn.CONCAT(AD386,". ",AE386)</f>
        <v>206</v>
      </c>
      <c r="AG386" t="s" s="26">
        <v>152</v>
      </c>
      <c r="AH386" s="27">
        <v>1</v>
      </c>
    </row>
    <row r="387" ht="20.05" customHeight="1">
      <c r="AC387" s="24"/>
      <c r="AD387" t="s" s="25">
        <v>499</v>
      </c>
      <c r="AE387" t="s" s="26">
        <v>404</v>
      </c>
      <c r="AF387" t="s" s="26">
        <f>_xlfn.CONCAT(AD387,". ",AE387)</f>
        <v>543</v>
      </c>
      <c r="AG387" t="s" s="26">
        <v>341</v>
      </c>
      <c r="AH387" s="27">
        <v>1</v>
      </c>
    </row>
    <row r="388" ht="20.05" customHeight="1">
      <c r="AC388" s="24"/>
      <c r="AD388" t="s" s="25">
        <v>475</v>
      </c>
      <c r="AE388" t="s" s="26">
        <v>418</v>
      </c>
      <c r="AF388" t="s" s="26">
        <f>_xlfn.CONCAT(AD388,". ",AE388)</f>
        <v>544</v>
      </c>
      <c r="AG388" t="s" s="26">
        <v>341</v>
      </c>
      <c r="AH388" s="27">
        <v>1</v>
      </c>
    </row>
    <row r="389" ht="20.05" customHeight="1">
      <c r="AC389" s="24"/>
      <c r="AD389" t="s" s="25">
        <v>475</v>
      </c>
      <c r="AE389" t="s" s="26">
        <v>352</v>
      </c>
      <c r="AF389" t="s" s="26">
        <f>_xlfn.CONCAT(AD389,". ",AE389)</f>
        <v>353</v>
      </c>
      <c r="AG389" t="s" s="26">
        <v>341</v>
      </c>
      <c r="AH389" s="27">
        <v>2</v>
      </c>
    </row>
    <row r="390" ht="20.05" customHeight="1">
      <c r="AC390" s="24"/>
      <c r="AD390" t="s" s="25">
        <v>477</v>
      </c>
      <c r="AE390" t="s" s="26">
        <v>377</v>
      </c>
      <c r="AF390" t="s" s="26">
        <f>_xlfn.CONCAT(AD390,". ",AE390)</f>
        <v>405</v>
      </c>
      <c r="AG390" t="s" s="26">
        <v>341</v>
      </c>
      <c r="AH390" s="27">
        <v>1</v>
      </c>
    </row>
    <row r="391" ht="20.05" customHeight="1">
      <c r="AC391" s="24"/>
      <c r="AD391" t="s" s="25">
        <v>481</v>
      </c>
      <c r="AE391" t="s" s="26">
        <v>51</v>
      </c>
      <c r="AF391" t="s" s="26">
        <f>_xlfn.CONCAT(AD391,". ",AE391)</f>
        <v>545</v>
      </c>
      <c r="AG391" t="s" s="26">
        <v>28</v>
      </c>
      <c r="AH391" s="27">
        <v>14</v>
      </c>
    </row>
    <row r="392" ht="20.05" customHeight="1">
      <c r="AC392" s="24"/>
      <c r="AD392" t="s" s="25">
        <v>152</v>
      </c>
      <c r="AE392" t="s" s="26">
        <v>546</v>
      </c>
      <c r="AF392" t="s" s="26">
        <f>_xlfn.CONCAT(AD392,". ",AE392)</f>
        <v>547</v>
      </c>
      <c r="AG392" t="s" s="26">
        <v>28</v>
      </c>
      <c r="AH392" s="27">
        <v>1</v>
      </c>
    </row>
    <row r="393" ht="20.05" customHeight="1">
      <c r="AC393" s="24"/>
      <c r="AD393" t="s" s="25">
        <v>499</v>
      </c>
      <c r="AE393" t="s" s="26">
        <v>284</v>
      </c>
      <c r="AF393" t="s" s="26">
        <f>_xlfn.CONCAT(AD393,". ",AE393)</f>
        <v>548</v>
      </c>
      <c r="AG393" t="s" s="26">
        <v>46</v>
      </c>
      <c r="AH393" s="27">
        <v>5</v>
      </c>
    </row>
    <row r="394" ht="20.05" customHeight="1">
      <c r="AC394" s="24"/>
      <c r="AD394" t="s" s="25">
        <v>481</v>
      </c>
      <c r="AE394" t="s" s="26">
        <v>349</v>
      </c>
      <c r="AF394" t="s" s="26">
        <f>_xlfn.CONCAT(AD394,". ",AE394)</f>
        <v>468</v>
      </c>
      <c r="AG394" t="s" s="26">
        <v>75</v>
      </c>
      <c r="AH394" s="27">
        <v>6</v>
      </c>
    </row>
    <row r="395" ht="20.05" customHeight="1">
      <c r="AC395" s="24"/>
      <c r="AD395" t="s" s="25">
        <v>481</v>
      </c>
      <c r="AE395" t="s" s="26">
        <v>549</v>
      </c>
      <c r="AF395" t="s" s="26">
        <f>_xlfn.CONCAT(AD395,". ",AE395)</f>
        <v>550</v>
      </c>
      <c r="AG395" t="s" s="26">
        <v>75</v>
      </c>
      <c r="AH395" s="27">
        <v>2</v>
      </c>
    </row>
    <row r="396" ht="20.05" customHeight="1">
      <c r="AC396" s="24"/>
      <c r="AD396" t="s" s="25">
        <v>480</v>
      </c>
      <c r="AE396" t="s" s="26">
        <v>276</v>
      </c>
      <c r="AF396" t="s" s="26">
        <f>_xlfn.CONCAT(AD396,". ",AE396)</f>
        <v>551</v>
      </c>
      <c r="AG396" t="s" s="26">
        <v>28</v>
      </c>
      <c r="AH396" s="27">
        <v>1</v>
      </c>
    </row>
    <row r="397" ht="20.05" customHeight="1">
      <c r="AC397" s="24"/>
      <c r="AD397" t="s" s="25">
        <v>552</v>
      </c>
      <c r="AE397" t="s" s="26">
        <v>553</v>
      </c>
      <c r="AF397" t="s" s="26">
        <f>_xlfn.CONCAT(AD397,". ",AE397)</f>
        <v>554</v>
      </c>
      <c r="AG397" t="s" s="26">
        <v>46</v>
      </c>
      <c r="AH397" s="27">
        <v>4</v>
      </c>
    </row>
    <row r="398" ht="20.05" customHeight="1">
      <c r="AC398" s="24"/>
      <c r="AD398" t="s" s="25">
        <v>481</v>
      </c>
      <c r="AE398" t="s" s="26">
        <v>300</v>
      </c>
      <c r="AF398" t="s" s="26">
        <f>_xlfn.CONCAT(AD398,". ",AE398)</f>
        <v>555</v>
      </c>
      <c r="AG398" t="s" s="26">
        <v>46</v>
      </c>
      <c r="AH398" s="27">
        <v>2</v>
      </c>
    </row>
  </sheetData>
  <mergeCells count="2">
    <mergeCell ref="A1:AB1"/>
    <mergeCell ref="AC254:AH25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